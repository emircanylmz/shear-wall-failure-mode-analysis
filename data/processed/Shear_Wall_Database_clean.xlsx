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37322c9bb04d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1cb82b1a514ec2"/>
    <x:sheet xmlns:r="http://schemas.openxmlformats.org/officeDocument/2006/relationships" name="Database" sheetId="2" r:id="R6cf86557bec34c5d"/>
    <x:sheet xmlns:r="http://schemas.openxmlformats.org/officeDocument/2006/relationships" name="Data Dictionary" sheetId="3" r:id="R707cb8ff118d41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"/>
    <x:numFmt numFmtId="202" formatCode="0.000000"/>
    <x:numFmt numFmtId="203" formatCode="@"/>
  </x:numFmts>
  <x:fonts count="11">
    <x:font>
      <x:sz val="11"/>
      <x:name val="Carlito"/>
    </x:font>
    <x:font>
      <x:b/>
      <x:sz val="16"/>
      <x:color rgb="FF1F1F1F"/>
      <x:name val="Arial"/>
    </x:font>
    <x:font>
      <x:b/>
      <x:sz val="10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17365D"/>
      <x:name val="Arial"/>
    </x:font>
    <x:font>
      <x:sz val="10"/>
      <x:color rgb="FF404040"/>
      <x:name val="Arial"/>
    </x:font>
    <x:font>
      <x:sz val="11"/>
      <x:name val="Arial"/>
    </x:font>
    <x:font>
      <x:sz val="9"/>
      <x:color rgb="FF1F1F1F"/>
      <x:name val="Arial"/>
    </x:font>
    <x:font>
      <x:sz val="10"/>
      <x:color rgb="FF1F1F1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</x:fills>
  <x:borders count="11">
    <x:border/>
    <x:border>
      <x:bottom style="thin">
        <x:color rgb="FF17365D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thin">
        <x:color rgb="FF17365D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2" borderId="2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/>
    <x:xf numFmtId="200" fontId="5" fillId="0" borderId="3" xfId="0" applyNumberFormat="1" applyFont="1" applyFill="1" applyBorder="1"/>
    <x:xf numFmtId="0" fontId="5" fillId="0" borderId="4" xfId="0" applyNumberFormat="1" applyFont="1" applyFill="1" applyBorder="1"/>
    <x:xf numFmtId="200" fontId="5" fillId="0" borderId="4" xfId="0" applyNumberFormat="1" applyFont="1" applyFill="1" applyBorder="1"/>
    <x:xf numFmtId="0" fontId="5" fillId="3" borderId="3" xfId="0" applyNumberFormat="1" applyFont="1" applyFill="1" applyBorder="1"/>
    <x:xf numFmtId="200" fontId="5" fillId="3" borderId="3" xfId="0" applyNumberFormat="1" applyFont="1" applyFill="1" applyBorder="1"/>
    <x:xf numFmtId="0" fontId="5" fillId="0" borderId="2" xfId="0" applyNumberFormat="1" applyFont="1" applyFill="1" applyBorder="1"/>
    <x:xf numFmtId="200" fontId="5" fillId="0" borderId="2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4" fillId="2" borderId="8" xfId="0" applyNumberFormat="1" applyFont="1" applyFill="1" applyBorder="1"/>
    <x:xf numFmtId="0" fontId="4" fillId="2" borderId="9" xfId="0" applyNumberFormat="1" applyFont="1" applyFill="1" applyBorder="1"/>
    <x:xf numFmtId="0" fontId="4" fillId="2" borderId="10" xfId="0" applyNumberFormat="1" applyFont="1" applyFill="1" applyBorder="1"/>
    <x:xf numFmtId="0" fontId="4" fillId="2" borderId="8" xfId="0" applyNumberFormat="1" applyFont="1" applyFill="1" applyBorder="1" applyAlignment="1">
      <x:alignment wrapText="1"/>
    </x:xf>
    <x:xf numFmtId="0" fontId="4" fillId="2" borderId="9" xfId="0" applyNumberFormat="1" applyFont="1" applyFill="1" applyBorder="1" applyAlignment="1">
      <x:alignment wrapText="1"/>
    </x:xf>
    <x:xf numFmtId="0" fontId="4" fillId="2" borderId="10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horizontal="center" wrapText="1"/>
    </x:xf>
    <x:xf numFmtId="0" fontId="4" fillId="2" borderId="9" xfId="0" applyNumberFormat="1" applyFont="1" applyFill="1" applyBorder="1" applyAlignment="1">
      <x:alignment horizontal="center" wrapText="1"/>
    </x:xf>
    <x:xf numFmtId="0" fontId="4" fillId="2" borderId="10" xfId="0" applyNumberFormat="1" applyFont="1" applyFill="1" applyBorder="1" applyAlignment="1">
      <x:alignment horizont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4" fillId="2" borderId="1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201" fontId="9" fillId="0" borderId="0" xfId="0" applyNumberFormat="1" applyFont="1" applyFill="1" applyBorder="1" applyAlignment="1">
      <x:alignment horizontal="center"/>
    </x:xf>
    <x:xf numFmtId="202" fontId="9" fillId="0" borderId="0" xfId="0" applyNumberFormat="1" applyFont="1" applyFill="1" applyBorder="1"/>
    <x:xf numFmtId="202" fontId="9" fillId="0" borderId="0" xfId="0" applyNumberFormat="1" applyFont="1" applyFill="1" applyBorder="1" applyAlignment="1">
      <x:alignment horizontal="center"/>
    </x:xf>
    <x:xf numFmtId="203" fontId="9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2" xfId="0" applyNumberFormat="1" applyFont="1" applyFill="1" applyBorder="1" applyAlignment="1">
      <x:alignment vertical="top" wrapText="1"/>
    </x:xf>
    <x:xf numFmtId="0" fontId="10" fillId="0" borderId="3" xfId="0" applyNumberFormat="1" applyFont="1" applyFill="1" applyBorder="1" applyAlignment="1">
      <x:alignment vertical="top" wrapText="1"/>
    </x:xf>
    <x:xf numFmtId="0" fontId="10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b32022f2fd419f" /><Relationship Type="http://schemas.openxmlformats.org/officeDocument/2006/relationships/theme" Target="/xl/theme/theme1.xml" Id="Ree67a0c3b656448e" /><Relationship Type="http://schemas.openxmlformats.org/officeDocument/2006/relationships/sharedStrings" Target="/xl/sharedStrings.xml" Id="R237492ae92fc4ee7" /><Relationship Type="http://schemas.openxmlformats.org/officeDocument/2006/relationships/worksheet" Target="/xl/worksheets/sheet1.xml" Id="R8d1cb82b1a514ec2" /><Relationship Type="http://schemas.openxmlformats.org/officeDocument/2006/relationships/worksheet" Target="/xl/worksheets/sheet2.xml" Id="R6cf86557bec34c5d" /><Relationship Type="http://schemas.openxmlformats.org/officeDocument/2006/relationships/worksheet" Target="/xl/worksheets/sheet3.xml" Id="R707cb8ff118d41d6" /></Relationships>
</file>

<file path=xl/tables/table1.xml><?xml version="1.0" encoding="utf-8"?>
<x:table xmlns:x="http://schemas.openxmlformats.org/spreadsheetml/2006/main" id="1" name="ShearWallData" displayName="ShearWallData" ref="A1:Q394" headerRowCount="1" totalsRowCount="0" totalsRowShown="0">
  <x:tableColumns count="17">
    <x:tableColumn id="1" name="RowID"/>
    <x:tableColumn id="2" name="SourceID"/>
    <x:tableColumn id="3" name="SourceIDRepeated"/>
    <x:tableColumn id="4" name="Author"/>
    <x:tableColumn id="5" name="Specimen"/>
    <x:tableColumn id="6" name="FailureMode"/>
    <x:tableColumn id="7" name="FailureModeName"/>
    <x:tableColumn id="8" name="M/Vlw"/>
    <x:tableColumn id="9" name="lw/tw"/>
    <x:tableColumn id="10" name="ρvwFy,vw/fc"/>
    <x:tableColumn id="11" name="ρhwFy,vw/fc"/>
    <x:tableColumn id="12" name="ρvcFy,vc/fc"/>
    <x:tableColumn id="13" name="ρhcFy,hc/fc"/>
    <x:tableColumn id="14" name="P/fcAg"/>
    <x:tableColumn id="15" name="Section"/>
    <x:tableColumn id="16" name="Ab/Ag"/>
    <x:tableColumn id="17" name="FeatureVectorGroupSiz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48b13d2a9f4059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52" hidden="0" customWidth="1"/>
    <x:col min="2" max="2" width="18" hidden="0" customWidth="1"/>
    <x:col min="3" max="3" width="3" hidden="0" customWidth="1"/>
    <x:col min="4" max="4" width="14" hidden="0" customWidth="1"/>
    <x:col min="5" max="5" width="18" hidden="0" customWidth="1"/>
    <x:col min="6" max="6" width="14" hidden="0" customWidth="1"/>
    <x:col min="7" max="7" width="12" hidden="0" customWidth="1"/>
    <x:col min="8" max="8" width="12" hidden="0" customWidth="1"/>
  </x:cols>
  <x:sheetData>
    <x:row r="1">
      <x:c r="A1" s="29"/>
      <x:c r="B1" s="29"/>
      <x:c r="C1" s="29"/>
      <x:c r="D1" s="29"/>
      <x:c r="E1" s="29"/>
      <x:c r="F1" s="29"/>
      <x:c r="G1" s="29"/>
      <x:c r="H1" s="29"/>
    </x:row>
    <x:row r="2">
      <x:c r="A2" s="1" t="str">
        <x:v>Shear Wall Database — Temiz Veri Özeti</x:v>
      </x:c>
      <x:c r="B2" s="1"/>
      <x:c r="C2" s="1"/>
      <x:c r="D2" s="1"/>
      <x:c r="E2" s="1"/>
      <x:c r="F2" s="1"/>
      <x:c r="G2" s="1"/>
      <x:c r="H2" s="1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>
      <x:c r="A4" s="3" t="str">
        <x:v>Kaynak dosya</x:v>
      </x:c>
      <x:c r="B4" s="4" t="str">
        <x:v>Shear_Wall_Database.xlsx</x:v>
      </x:c>
      <x:c r="C4" s="29"/>
      <x:c r="D4" s="29"/>
      <x:c r="E4" s="29"/>
      <x:c r="F4" s="29"/>
      <x:c r="G4" s="29"/>
      <x:c r="H4" s="29"/>
    </x:row>
    <x:row r="5">
      <x:c r="A5" s="3" t="str">
        <x:v>Temizleme kapsamı</x:v>
      </x:c>
      <x:c r="B5" s="4" t="str">
        <x:v>Tek veri tablosu, benzersiz RowID, veri sözlüğü ve açık kalite bayrakları</x:v>
      </x:c>
      <x:c r="C5" s="29"/>
      <x:c r="D5" s="29"/>
      <x:c r="E5" s="29"/>
      <x:c r="F5" s="29"/>
      <x:c r="G5" s="29"/>
      <x:c r="H5" s="29"/>
    </x:row>
    <x:row r="6">
      <x:c r="A6" s="29"/>
      <x:c r="B6" s="29"/>
      <x:c r="C6" s="29"/>
      <x:c r="D6" s="29"/>
      <x:c r="E6" s="29"/>
      <x:c r="F6" s="29"/>
      <x:c r="G6" s="29"/>
      <x:c r="H6" s="29"/>
    </x:row>
    <x:row r="7">
      <x:c r="A7" s="11" t="str">
        <x:v>Veri kontrolü</x:v>
      </x:c>
      <x:c r="B7" s="11" t="str">
        <x:v>Değer</x:v>
      </x:c>
      <x:c r="C7" s="29"/>
      <x:c r="D7" s="8" t="str">
        <x:v>FailureMode</x:v>
      </x:c>
      <x:c r="E7" s="8" t="str">
        <x:v>Ad</x:v>
      </x:c>
      <x:c r="F7" s="8" t="str">
        <x:v>Kayıt sayısı</x:v>
      </x:c>
      <x:c r="G7" s="29"/>
      <x:c r="H7" s="29"/>
    </x:row>
    <x:row r="8">
      <x:c r="A8" s="12" t="str">
        <x:v>Kayıt sayısı</x:v>
      </x:c>
      <x:c r="B8" s="13" t="n">
        <x:f>COUNTA(Database!$A$2:$A$394)</x:f>
        <x:v>393</x:v>
      </x:c>
      <x:c r="C8" s="29"/>
      <x:c r="D8" s="18" t="n">
        <x:v>1</x:v>
      </x:c>
      <x:c r="E8" s="18" t="str">
        <x:v>Flexural</x:v>
      </x:c>
      <x:c r="F8" s="19" t="n">
        <x:f>COUNTIFS(Database!$F$2:$F$394,D8)</x:f>
        <x:v>152</x:v>
      </x:c>
      <x:c r="G8" s="29"/>
      <x:c r="H8" s="29"/>
    </x:row>
    <x:row r="9">
      <x:c r="A9" s="16" t="str">
        <x:v>Yinelenen SourceID bulunan satırlar</x:v>
      </x:c>
      <x:c r="B9" s="17" t="n">
        <x:f>COUNTIFS(Database!$C$2:$C$394,1)</x:f>
        <x:v>12</x:v>
      </x:c>
      <x:c r="C9" s="29"/>
      <x:c r="D9" s="12" t="n">
        <x:v>2</x:v>
      </x:c>
      <x:c r="E9" s="12" t="str">
        <x:v>Shear</x:v>
      </x:c>
      <x:c r="F9" s="13" t="n">
        <x:f>COUNTIFS(Database!$F$2:$F$394,D9)</x:f>
        <x:v>96</x:v>
      </x:c>
      <x:c r="G9" s="29"/>
      <x:c r="H9" s="29"/>
    </x:row>
    <x:row r="10">
      <x:c r="A10" s="16" t="str">
        <x:v>Aynı özellik vektörünü paylaşan satırlar</x:v>
      </x:c>
      <x:c r="B10" s="17" t="n">
        <x:f>COUNTIFS(Database!$Q$2:$Q$394,"&gt;1")</x:f>
        <x:v>23</x:v>
      </x:c>
      <x:c r="C10" s="29"/>
      <x:c r="D10" s="12" t="n">
        <x:v>3</x:v>
      </x:c>
      <x:c r="E10" s="12" t="str">
        <x:v>Flex-Shear</x:v>
      </x:c>
      <x:c r="F10" s="13" t="n">
        <x:f>COUNTIFS(Database!$F$2:$F$394,D10)</x:f>
        <x:v>122</x:v>
      </x:c>
      <x:c r="G10" s="29"/>
      <x:c r="H10" s="29"/>
    </x:row>
    <x:row r="11">
      <x:c r="A11" s="12" t="str">
        <x:v>Model alanlarında eksik hücre</x:v>
      </x:c>
      <x:c r="B11" s="13" t="n">
        <x:f>SUM(COUNTBLANK(Database!$D$2:$D$394),COUNTBLANK(Database!$E$2:$E$394),COUNTBLANK(Database!$F$2:$F$394),COUNTBLANK(Database!$H$2:$H$394),COUNTBLANK(Database!$I$2:$I$394),COUNTBLANK(Database!$J$2:$J$394),COUNTBLANK(Database!$K$2:$K$394),COUNTBLANK(Database!$L$2:$L$394),COUNTBLANK(Database!$M$2:$M$394),COUNTBLANK(Database!$N$2:$N$394),COUNTBLANK(Database!$O$2:$O$394),COUNTBLANK(Database!$P$2:$P$394))</x:f>
        <x:v>0</x:v>
      </x:c>
      <x:c r="C11" s="29"/>
      <x:c r="D11" s="14" t="n">
        <x:v>4</x:v>
      </x:c>
      <x:c r="E11" s="14" t="str">
        <x:v>Sliding</x:v>
      </x:c>
      <x:c r="F11" s="15" t="n">
        <x:f>COUNTIFS(Database!$F$2:$F$394,D11)</x:f>
        <x:v>23</x:v>
      </x:c>
      <x:c r="G11" s="29"/>
      <x:c r="H11" s="29"/>
    </x:row>
    <x:row r="12">
      <x:c r="A12" s="14" t="str">
        <x:v>Geçersiz FailureMode</x:v>
      </x:c>
      <x:c r="B12" s="15" t="n">
        <x:f>COUNTIFS(Database!$F$2:$F$394,"&lt;1")+COUNTIFS(Database!$F$2:$F$394,"&gt;4")</x:f>
        <x:v>0</x:v>
      </x:c>
      <x:c r="C12" s="29"/>
      <x:c r="D12" s="29"/>
      <x:c r="E12" s="29"/>
      <x:c r="F12" s="29"/>
      <x:c r="G12" s="29"/>
      <x:c r="H12" s="29"/>
    </x:row>
    <x:row r="13">
      <x:c r="A13" s="29"/>
      <x:c r="B13" s="29"/>
      <x:c r="C13" s="29"/>
      <x:c r="D13" s="29"/>
      <x:c r="E13" s="29"/>
      <x:c r="F13" s="29"/>
      <x:c r="G13" s="29"/>
      <x:c r="H13" s="29"/>
    </x:row>
    <x:row r="14">
      <x:c r="A14" s="22" t="str">
        <x:v>Kullanım notları</x:v>
      </x:c>
      <x:c r="B14" s="23"/>
      <x:c r="C14" s="23"/>
      <x:c r="D14" s="23"/>
      <x:c r="E14" s="23"/>
      <x:c r="F14" s="23"/>
      <x:c r="G14" s="23"/>
      <x:c r="H14" s="24"/>
    </x:row>
    <x:row r="15" ht="56" customHeight="1">
      <x:c r="A15" s="28" t="str">
        <x:v>Model girdileri yalnızca Data Dictionary sayfasında Model girdisi olarak işaretlenen alanlardır. Author, Specimen, RowID ve SourceID tahmin girdisi değildir.</x:v>
      </x:c>
      <x:c r="B15" s="28"/>
      <x:c r="C15" s="28"/>
      <x:c r="D15" s="28"/>
      <x:c r="E15" s="28"/>
      <x:c r="F15" s="28"/>
      <x:c r="G15" s="28"/>
      <x:c r="H15" s="28"/>
    </x:row>
    <x:row r="16" ht="56" customHeight="1">
      <x:c r="A16" s="28" t="str">
        <x:v>Model performansı Author alanına göre grup ayrımlı doğrulanmalıdır. Aynı özellik vektörünü paylaşan kayıtlar da aynı değerlendirme grubunda tutulmalıdır.</x:v>
      </x:c>
      <x:c r="B16" s="28"/>
      <x:c r="C16" s="28"/>
      <x:c r="D16" s="28"/>
      <x:c r="E16" s="28"/>
      <x:c r="F16" s="28"/>
      <x:c r="G16" s="28"/>
      <x:c r="H16" s="28"/>
    </x:row>
    <x:row r="17">
      <x:c r="A17" s="29"/>
      <x:c r="B17" s="29"/>
      <x:c r="C17" s="29"/>
      <x:c r="D17" s="29"/>
      <x:c r="E17" s="29"/>
      <x:c r="F17" s="29"/>
      <x:c r="G17" s="29"/>
      <x:c r="H17" s="29"/>
    </x:row>
    <x:row r="18">
      <x:c r="A18" s="29"/>
      <x:c r="B18" s="29"/>
      <x:c r="C18" s="29"/>
      <x:c r="D18" s="29"/>
      <x:c r="E18" s="29"/>
      <x:c r="F18" s="29"/>
      <x:c r="G18" s="29"/>
      <x:c r="H18" s="29"/>
    </x:row>
  </x:sheetData>
  <x:conditionalFormatting sqref="A11:B12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" hidden="0" customWidth="1"/>
    <x:col min="2" max="2" width="10" hidden="0" customWidth="1"/>
    <x:col min="3" max="3" width="14" hidden="0" customWidth="1"/>
    <x:col min="4" max="4" width="30" hidden="0" customWidth="1"/>
    <x:col min="5" max="5" width="19" hidden="0" customWidth="1"/>
    <x:col min="6" max="6" width="12" hidden="0" customWidth="1"/>
    <x:col min="7" max="7" width="17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22" hidden="0" customWidth="1"/>
  </x:cols>
  <x:sheetData>
    <x:row r="1" ht="34" customHeight="1">
      <x:c r="A1" s="40" t="str">
        <x:v>RowID</x:v>
      </x:c>
      <x:c r="B1" s="41" t="str">
        <x:v>SourceID</x:v>
      </x:c>
      <x:c r="C1" s="41" t="str">
        <x:v>SourceIDRepeated</x:v>
      </x:c>
      <x:c r="D1" s="41" t="str">
        <x:v>Author</x:v>
      </x:c>
      <x:c r="E1" s="41" t="str">
        <x:v>Specimen</x:v>
      </x:c>
      <x:c r="F1" s="41" t="str">
        <x:v>FailureMode</x:v>
      </x:c>
      <x:c r="G1" s="41" t="str">
        <x:v>FailureModeName</x:v>
      </x:c>
      <x:c r="H1" s="41" t="str">
        <x:v>M/Vlw</x:v>
      </x:c>
      <x:c r="I1" s="41" t="str">
        <x:v>lw/tw</x:v>
      </x:c>
      <x:c r="J1" s="41" t="str">
        <x:v>ρvwFy,vw/fc</x:v>
      </x:c>
      <x:c r="K1" s="41" t="str">
        <x:v>ρhwFy,vw/fc</x:v>
      </x:c>
      <x:c r="L1" s="41" t="str">
        <x:v>ρvcFy,vc/fc</x:v>
      </x:c>
      <x:c r="M1" s="41" t="str">
        <x:v>ρhcFy,hc/fc</x:v>
      </x:c>
      <x:c r="N1" s="41" t="str">
        <x:v>P/fcAg</x:v>
      </x:c>
      <x:c r="O1" s="41" t="str">
        <x:v>Section</x:v>
      </x:c>
      <x:c r="P1" s="41" t="str">
        <x:v>Ab/Ag</x:v>
      </x:c>
      <x:c r="Q1" s="42" t="str">
        <x:v>FeatureVectorGroupSize</x:v>
      </x:c>
    </x:row>
    <x:row r="2">
      <x:c r="A2" s="45" t="n">
        <x:v>1</x:v>
      </x:c>
      <x:c r="B2" s="45" t="n">
        <x:v>1</x:v>
      </x:c>
      <x:c r="C2" s="45" t="n">
        <x:v>0</x:v>
      </x:c>
      <x:c r="D2" s="43" t="str">
        <x:v>Lefas et al. (1990a)</x:v>
      </x:c>
      <x:c r="E2" s="43" t="str">
        <x:v>SW11</x:v>
      </x:c>
      <x:c r="F2" s="45" t="n">
        <x:v>1</x:v>
      </x:c>
      <x:c r="G2" s="44" t="str">
        <x:v>Flexural</x:v>
      </x:c>
      <x:c r="H2" s="46" t="n">
        <x:v>1.1</x:v>
      </x:c>
      <x:c r="I2" s="46" t="n">
        <x:v>10.714285714285714</x:v>
      </x:c>
      <x:c r="J2" s="46" t="n">
        <x:v>0.26887891235312805</x:v>
      </x:c>
      <x:c r="K2" s="46" t="n">
        <x:v>0.13671128107074568</x:v>
      </x:c>
      <x:c r="L2" s="46" t="n">
        <x:v>0.3482313575525812</x:v>
      </x:c>
      <x:c r="M2" s="46" t="n">
        <x:v>0.14913957934990438</x:v>
      </x:c>
      <x:c r="N2" s="46" t="n">
        <x:v>0</x:v>
      </x:c>
      <x:c r="O2" s="48" t="str">
        <x:v>R</x:v>
      </x:c>
      <x:c r="P2" s="46" t="n">
        <x:v>0</x:v>
      </x:c>
      <x:c r="Q2" s="45" t="n">
        <x:v>1</x:v>
      </x:c>
    </x:row>
    <x:row r="3">
      <x:c r="A3" s="45" t="n">
        <x:v>2</x:v>
      </x:c>
      <x:c r="B3" s="45" t="n">
        <x:v>2</x:v>
      </x:c>
      <x:c r="C3" s="45" t="n">
        <x:v>0</x:v>
      </x:c>
      <x:c r="D3" s="43" t="str">
        <x:v>Lefas et al. (1990a)</x:v>
      </x:c>
      <x:c r="E3" s="43" t="str">
        <x:v>SW12</x:v>
      </x:c>
      <x:c r="F3" s="45" t="n">
        <x:v>1</x:v>
      </x:c>
      <x:c r="G3" s="44" t="str">
        <x:v>Flexural</x:v>
      </x:c>
      <x:c r="H3" s="46" t="n">
        <x:v>1.1</x:v>
      </x:c>
      <x:c r="I3" s="46" t="n">
        <x:v>10.714285714285714</x:v>
      </x:c>
      <x:c r="J3" s="46" t="n">
        <x:v>0.262357595449041</x:v>
      </x:c>
      <x:c r="K3" s="46" t="n">
        <x:v>0.13339552238805968</x:v>
      </x:c>
      <x:c r="L3" s="46" t="n">
        <x:v>0.339785447761194</x:v>
      </x:c>
      <x:c r="M3" s="46" t="n">
        <x:v>0.1455223880597015</x:v>
      </x:c>
      <x:c r="N3" s="46" t="n">
        <x:v>0.10216773276474768</x:v>
      </x:c>
      <x:c r="O3" s="48" t="str">
        <x:v>R</x:v>
      </x:c>
      <x:c r="P3" s="46" t="n">
        <x:v>0</x:v>
      </x:c>
      <x:c r="Q3" s="45" t="n">
        <x:v>1</x:v>
      </x:c>
    </x:row>
    <x:row r="4">
      <x:c r="A4" s="45" t="n">
        <x:v>3</x:v>
      </x:c>
      <x:c r="B4" s="45" t="n">
        <x:v>3</x:v>
      </x:c>
      <x:c r="C4" s="45" t="n">
        <x:v>0</x:v>
      </x:c>
      <x:c r="D4" s="43" t="str">
        <x:v>Lefas et al. (1990a)</x:v>
      </x:c>
      <x:c r="E4" s="43" t="str">
        <x:v>SW13</x:v>
      </x:c>
      <x:c r="F4" s="45" t="n">
        <x:v>1</x:v>
      </x:c>
      <x:c r="G4" s="44" t="str">
        <x:v>Flexural</x:v>
      </x:c>
      <x:c r="H4" s="46" t="n">
        <x:v>1.1</x:v>
      </x:c>
      <x:c r="I4" s="46" t="n">
        <x:v>10.714285714285714</x:v>
      </x:c>
      <x:c r="J4" s="46" t="n">
        <x:v>0.34636372207065513</x:v>
      </x:c>
      <x:c r="K4" s="46" t="n">
        <x:v>0.17610837438423643</x:v>
      </x:c>
      <x:c r="L4" s="46" t="n">
        <x:v>0.4485837438423645</x:v>
      </x:c>
      <x:c r="M4" s="46" t="n">
        <x:v>0.1921182266009852</x:v>
      </x:c>
      <x:c r="N4" s="46" t="n">
        <x:v>0.20818672296504806</x:v>
      </x:c>
      <x:c r="O4" s="48" t="str">
        <x:v>R</x:v>
      </x:c>
      <x:c r="P4" s="46" t="n">
        <x:v>0</x:v>
      </x:c>
      <x:c r="Q4" s="45" t="n">
        <x:v>1</x:v>
      </x:c>
    </x:row>
    <x:row r="5">
      <x:c r="A5" s="45" t="n">
        <x:v>4</x:v>
      </x:c>
      <x:c r="B5" s="45" t="n">
        <x:v>4</x:v>
      </x:c>
      <x:c r="C5" s="45" t="n">
        <x:v>0</x:v>
      </x:c>
      <x:c r="D5" s="43" t="str">
        <x:v>Lefas et al. (1990a)</x:v>
      </x:c>
      <x:c r="E5" s="43" t="str">
        <x:v>SW14</x:v>
      </x:c>
      <x:c r="F5" s="45" t="n">
        <x:v>1</x:v>
      </x:c>
      <x:c r="G5" s="44" t="str">
        <x:v>Flexural</x:v>
      </x:c>
      <x:c r="H5" s="46" t="n">
        <x:v>1.1</x:v>
      </x:c>
      <x:c r="I5" s="46" t="n">
        <x:v>10.714285714285714</x:v>
      </x:c>
      <x:c r="J5" s="46" t="n">
        <x:v>0.334022971878114</x:v>
      </x:c>
      <x:c r="K5" s="46" t="n">
        <x:v>0.169833729216152</x:v>
      </x:c>
      <x:c r="L5" s="46" t="n">
        <x:v>0.43260095011876487</x:v>
      </x:c>
      <x:c r="M5" s="46" t="n">
        <x:v>0.18527315914489312</x:v>
      </x:c>
      <x:c r="N5" s="46" t="n">
        <x:v>0</x:v>
      </x:c>
      <x:c r="O5" s="48" t="str">
        <x:v>R</x:v>
      </x:c>
      <x:c r="P5" s="46" t="n">
        <x:v>0</x:v>
      </x:c>
      <x:c r="Q5" s="45" t="n">
        <x:v>1</x:v>
      </x:c>
    </x:row>
    <x:row r="6">
      <x:c r="A6" s="45" t="n">
        <x:v>5</x:v>
      </x:c>
      <x:c r="B6" s="45" t="n">
        <x:v>5</x:v>
      </x:c>
      <x:c r="C6" s="45" t="n">
        <x:v>0</x:v>
      </x:c>
      <x:c r="D6" s="43" t="str">
        <x:v>Lefas et al. (1990a)</x:v>
      </x:c>
      <x:c r="E6" s="43" t="str">
        <x:v>SW15</x:v>
      </x:c>
      <x:c r="F6" s="45" t="n">
        <x:v>1</x:v>
      </x:c>
      <x:c r="G6" s="44" t="str">
        <x:v>Flexural</x:v>
      </x:c>
      <x:c r="H6" s="46" t="n">
        <x:v>1.1</x:v>
      </x:c>
      <x:c r="I6" s="46" t="n">
        <x:v>10.714285714285714</x:v>
      </x:c>
      <x:c r="J6" s="46" t="n">
        <x:v>0.3247659842048175</x:v>
      </x:c>
      <x:c r="K6" s="46" t="n">
        <x:v>0.1651270207852194</x:v>
      </x:c>
      <x:c r="L6" s="46" t="n">
        <x:v>0.4206120092378753</x:v>
      </x:c>
      <x:c r="M6" s="46" t="n">
        <x:v>0.18013856812933027</x:v>
      </x:c>
      <x:c r="N6" s="46" t="n">
        <x:v>0.1017266028813373</x:v>
      </x:c>
      <x:c r="O6" s="48" t="str">
        <x:v>R</x:v>
      </x:c>
      <x:c r="P6" s="46" t="n">
        <x:v>0</x:v>
      </x:c>
      <x:c r="Q6" s="45" t="n">
        <x:v>1</x:v>
      </x:c>
    </x:row>
    <x:row r="7">
      <x:c r="A7" s="45" t="n">
        <x:v>6</x:v>
      </x:c>
      <x:c r="B7" s="45" t="n">
        <x:v>6</x:v>
      </x:c>
      <x:c r="C7" s="45" t="n">
        <x:v>0</x:v>
      </x:c>
      <x:c r="D7" s="43" t="str">
        <x:v>Lefas et al. (1990a)</x:v>
      </x:c>
      <x:c r="E7" s="43" t="str">
        <x:v>SW16</x:v>
      </x:c>
      <x:c r="F7" s="45" t="n">
        <x:v>1</x:v>
      </x:c>
      <x:c r="G7" s="44" t="str">
        <x:v>Flexural</x:v>
      </x:c>
      <x:c r="H7" s="46" t="n">
        <x:v>1.1</x:v>
      </x:c>
      <x:c r="I7" s="46" t="n">
        <x:v>10.714285714285714</x:v>
      </x:c>
      <x:c r="J7" s="46" t="n">
        <x:v>0.2719993639471682</x:v>
      </x:c>
      <x:c r="K7" s="46" t="n">
        <x:v>0.1382978723404255</x:v>
      </x:c>
      <x:c r="L7" s="46" t="n">
        <x:v>0.35227272727272724</x:v>
      </x:c>
      <x:c r="M7" s="46" t="n">
        <x:v>0.1508704061895551</x:v>
      </x:c>
      <x:c r="N7" s="46" t="n">
        <x:v>0.21184489269595647</x:v>
      </x:c>
      <x:c r="O7" s="48" t="str">
        <x:v>R</x:v>
      </x:c>
      <x:c r="P7" s="46" t="n">
        <x:v>0</x:v>
      </x:c>
      <x:c r="Q7" s="45" t="n">
        <x:v>1</x:v>
      </x:c>
    </x:row>
    <x:row r="8">
      <x:c r="A8" s="45" t="n">
        <x:v>7</x:v>
      </x:c>
      <x:c r="B8" s="45" t="n">
        <x:v>7</x:v>
      </x:c>
      <x:c r="C8" s="45" t="n">
        <x:v>0</x:v>
      </x:c>
      <x:c r="D8" s="43" t="str">
        <x:v>Lefas et al. (1990a)</x:v>
      </x:c>
      <x:c r="E8" s="43" t="str">
        <x:v>SW17</x:v>
      </x:c>
      <x:c r="F8" s="45" t="n">
        <x:v>1</x:v>
      </x:c>
      <x:c r="G8" s="44" t="str">
        <x:v>Flexural</x:v>
      </x:c>
      <x:c r="H8" s="46" t="n">
        <x:v>1.1</x:v>
      </x:c>
      <x:c r="I8" s="46" t="n">
        <x:v>10.714285714285714</x:v>
      </x:c>
      <x:c r="J8" s="46" t="n">
        <x:v>0.29114631710286953</x:v>
      </x:c>
      <x:c r="K8" s="46" t="n">
        <x:v>0.049792960662525886</x:v>
      </x:c>
      <x:c r="L8" s="46" t="n">
        <x:v>0.40139751552795033</x:v>
      </x:c>
      <x:c r="M8" s="46" t="n">
        <x:v>0.16149068322981366</x:v>
      </x:c>
      <x:c r="N8" s="46" t="n">
        <x:v>0</x:v>
      </x:c>
      <x:c r="O8" s="48" t="str">
        <x:v>R</x:v>
      </x:c>
      <x:c r="P8" s="46" t="n">
        <x:v>0</x:v>
      </x:c>
      <x:c r="Q8" s="45" t="n">
        <x:v>1</x:v>
      </x:c>
    </x:row>
    <x:row r="9">
      <x:c r="A9" s="45" t="n">
        <x:v>8</x:v>
      </x:c>
      <x:c r="B9" s="45" t="n">
        <x:v>8</x:v>
      </x:c>
      <x:c r="C9" s="45" t="n">
        <x:v>0</x:v>
      </x:c>
      <x:c r="D9" s="43" t="str">
        <x:v>Lefas et al. (1990a)</x:v>
      </x:c>
      <x:c r="E9" s="43" t="str">
        <x:v>SW21</x:v>
      </x:c>
      <x:c r="F9" s="45" t="n">
        <x:v>1</x:v>
      </x:c>
      <x:c r="G9" s="44" t="str">
        <x:v>Flexural</x:v>
      </x:c>
      <x:c r="H9" s="46" t="n">
        <x:v>2.1153846153846154</x:v>
      </x:c>
      <x:c r="I9" s="46" t="n">
        <x:v>10</x:v>
      </x:c>
      <x:c r="J9" s="46" t="n">
        <x:v>0.34241982959282086</x:v>
      </x:c>
      <x:c r="K9" s="46" t="n">
        <x:v>0.12149532710280374</x:v>
      </x:c>
      <x:c r="L9" s="46" t="n">
        <x:v>0.4529789719626168</x:v>
      </x:c>
      <x:c r="M9" s="46" t="n">
        <x:v>0.13668224299065418</x:v>
      </x:c>
      <x:c r="N9" s="46" t="n">
        <x:v>0</x:v>
      </x:c>
      <x:c r="O9" s="48" t="str">
        <x:v>R</x:v>
      </x:c>
      <x:c r="P9" s="46" t="n">
        <x:v>0</x:v>
      </x:c>
      <x:c r="Q9" s="45" t="n">
        <x:v>1</x:v>
      </x:c>
    </x:row>
    <x:row r="10">
      <x:c r="A10" s="45" t="n">
        <x:v>9</x:v>
      </x:c>
      <x:c r="B10" s="45" t="n">
        <x:v>9</x:v>
      </x:c>
      <x:c r="C10" s="45" t="n">
        <x:v>0</x:v>
      </x:c>
      <x:c r="D10" s="43" t="str">
        <x:v>Lefas et al. (1990a)</x:v>
      </x:c>
      <x:c r="E10" s="43" t="str">
        <x:v>SW22</x:v>
      </x:c>
      <x:c r="F10" s="45" t="n">
        <x:v>1</x:v>
      </x:c>
      <x:c r="G10" s="44" t="str">
        <x:v>Flexural</x:v>
      </x:c>
      <x:c r="H10" s="46" t="n">
        <x:v>2.1153846153846154</x:v>
      </x:c>
      <x:c r="I10" s="46" t="n">
        <x:v>10</x:v>
      </x:c>
      <x:c r="J10" s="46" t="n">
        <x:v>0.2902667984189723</x:v>
      </x:c>
      <x:c r="K10" s="46" t="n">
        <x:v>0.10276679841897232</x:v>
      </x:c>
      <x:c r="L10" s="46" t="n">
        <x:v>0.38315217391304346</x:v>
      </x:c>
      <x:c r="M10" s="46" t="n">
        <x:v>0.11561264822134386</x:v>
      </x:c>
      <x:c r="N10" s="46" t="n">
        <x:v>0.10641532380662815</x:v>
      </x:c>
      <x:c r="O10" s="48" t="str">
        <x:v>R</x:v>
      </x:c>
      <x:c r="P10" s="46" t="n">
        <x:v>0</x:v>
      </x:c>
      <x:c r="Q10" s="45" t="n">
        <x:v>1</x:v>
      </x:c>
    </x:row>
    <x:row r="11">
      <x:c r="A11" s="45" t="n">
        <x:v>10</x:v>
      </x:c>
      <x:c r="B11" s="45" t="n">
        <x:v>10</x:v>
      </x:c>
      <x:c r="C11" s="45" t="n">
        <x:v>0</x:v>
      </x:c>
      <x:c r="D11" s="43" t="str">
        <x:v>Lefas et al. (1990a)</x:v>
      </x:c>
      <x:c r="E11" s="43" t="str">
        <x:v>SW23</x:v>
      </x:c>
      <x:c r="F11" s="45" t="n">
        <x:v>1</x:v>
      </x:c>
      <x:c r="G11" s="44" t="str">
        <x:v>Flexural</x:v>
      </x:c>
      <x:c r="H11" s="46" t="n">
        <x:v>2.1153846153846154</x:v>
      </x:c>
      <x:c r="I11" s="46" t="n">
        <x:v>10</x:v>
      </x:c>
      <x:c r="J11" s="46" t="n">
        <x:v>0.30726987447698745</x:v>
      </x:c>
      <x:c r="K11" s="46" t="n">
        <x:v>0.10878661087866108</x:v>
      </x:c>
      <x:c r="L11" s="46" t="n">
        <x:v>0.40559623430962344</x:v>
      </x:c>
      <x:c r="M11" s="46" t="n">
        <x:v>0.12238493723849371</x:v>
      </x:c>
      <x:c r="N11" s="46" t="n">
        <x:v>0.21229976975068704</x:v>
      </x:c>
      <x:c r="O11" s="48" t="str">
        <x:v>R</x:v>
      </x:c>
      <x:c r="P11" s="46" t="n">
        <x:v>0</x:v>
      </x:c>
      <x:c r="Q11" s="45" t="n">
        <x:v>1</x:v>
      </x:c>
    </x:row>
    <x:row r="12">
      <x:c r="A12" s="45" t="n">
        <x:v>11</x:v>
      </x:c>
      <x:c r="B12" s="45" t="n">
        <x:v>11</x:v>
      </x:c>
      <x:c r="C12" s="45" t="n">
        <x:v>0</x:v>
      </x:c>
      <x:c r="D12" s="43" t="str">
        <x:v>Lefas et al. (1990a)</x:v>
      </x:c>
      <x:c r="E12" s="43" t="str">
        <x:v>SW24</x:v>
      </x:c>
      <x:c r="F12" s="45" t="n">
        <x:v>1</x:v>
      </x:c>
      <x:c r="G12" s="44" t="str">
        <x:v>Flexural</x:v>
      </x:c>
      <x:c r="H12" s="46" t="n">
        <x:v>2.1153846153846154</x:v>
      </x:c>
      <x:c r="I12" s="46" t="n">
        <x:v>10</x:v>
      </x:c>
      <x:c r="J12" s="46" t="n">
        <x:v>0.30408902691511386</x:v>
      </x:c>
      <x:c r="K12" s="46" t="n">
        <x:v>0.10766045548654245</x:v>
      </x:c>
      <x:c r="L12" s="46" t="n">
        <x:v>0.40139751552795033</x:v>
      </x:c>
      <x:c r="M12" s="46" t="n">
        <x:v>0.12111801242236024</x:v>
      </x:c>
      <x:c r="N12" s="46" t="n">
        <x:v>0</x:v>
      </x:c>
      <x:c r="O12" s="48" t="str">
        <x:v>R</x:v>
      </x:c>
      <x:c r="P12" s="46" t="n">
        <x:v>0</x:v>
      </x:c>
      <x:c r="Q12" s="45" t="n">
        <x:v>1</x:v>
      </x:c>
    </x:row>
    <x:row r="13">
      <x:c r="A13" s="45" t="n">
        <x:v>12</x:v>
      </x:c>
      <x:c r="B13" s="45" t="n">
        <x:v>12</x:v>
      </x:c>
      <x:c r="C13" s="45" t="n">
        <x:v>0</x:v>
      </x:c>
      <x:c r="D13" s="43" t="str">
        <x:v>Lefas et al. (1990a)</x:v>
      </x:c>
      <x:c r="E13" s="43" t="str">
        <x:v>SW25</x:v>
      </x:c>
      <x:c r="F13" s="45" t="n">
        <x:v>1</x:v>
      </x:c>
      <x:c r="G13" s="44" t="str">
        <x:v>Flexural</x:v>
      </x:c>
      <x:c r="H13" s="46" t="n">
        <x:v>2.1153846153846154</x:v>
      </x:c>
      <x:c r="I13" s="46" t="n">
        <x:v>10</x:v>
      </x:c>
      <x:c r="J13" s="46" t="n">
        <x:v>0.3263888888888889</x:v>
      </x:c>
      <x:c r="K13" s="46" t="n">
        <x:v>0.11555555555555556</x:v>
      </x:c>
      <x:c r="L13" s="46" t="n">
        <x:v>0.4308333333333334</x:v>
      </x:c>
      <x:c r="M13" s="46" t="n">
        <x:v>0.13</x:v>
      </x:c>
      <x:c r="N13" s="46" t="n">
        <x:v>0.21367521367521367</x:v>
      </x:c>
      <x:c r="O13" s="48" t="str">
        <x:v>R</x:v>
      </x:c>
      <x:c r="P13" s="46" t="n">
        <x:v>0</x:v>
      </x:c>
      <x:c r="Q13" s="45" t="n">
        <x:v>1</x:v>
      </x:c>
    </x:row>
    <x:row r="14">
      <x:c r="A14" s="45" t="n">
        <x:v>13</x:v>
      </x:c>
      <x:c r="B14" s="45" t="n">
        <x:v>13</x:v>
      </x:c>
      <x:c r="C14" s="45" t="n">
        <x:v>0</x:v>
      </x:c>
      <x:c r="D14" s="43" t="str">
        <x:v>Lefas et al. (1990a)</x:v>
      </x:c>
      <x:c r="E14" s="43" t="str">
        <x:v>SW26</x:v>
      </x:c>
      <x:c r="F14" s="45" t="n">
        <x:v>1</x:v>
      </x:c>
      <x:c r="G14" s="44" t="str">
        <x:v>Flexural</x:v>
      </x:c>
      <x:c r="H14" s="46" t="n">
        <x:v>2.1153846153846154</x:v>
      </x:c>
      <x:c r="I14" s="46" t="n">
        <x:v>10</x:v>
      </x:c>
      <x:c r="J14" s="46" t="n">
        <x:v>0.4879568106312292</x:v>
      </x:c>
      <x:c r="K14" s="46" t="n">
        <x:v>0.08637873754152824</x:v>
      </x:c>
      <x:c r="L14" s="46" t="n">
        <x:v>0.6441029900332226</x:v>
      </x:c>
      <x:c r="M14" s="46" t="n">
        <x:v>0.1943521594684385</x:v>
      </x:c>
      <x:c r="N14" s="46" t="n">
        <x:v>0</x:v>
      </x:c>
      <x:c r="O14" s="48" t="str">
        <x:v>R</x:v>
      </x:c>
      <x:c r="P14" s="46" t="n">
        <x:v>0</x:v>
      </x:c>
      <x:c r="Q14" s="45" t="n">
        <x:v>1</x:v>
      </x:c>
    </x:row>
    <x:row r="15">
      <x:c r="A15" s="45" t="n">
        <x:v>14</x:v>
      </x:c>
      <x:c r="B15" s="45" t="n">
        <x:v>14</x:v>
      </x:c>
      <x:c r="C15" s="45" t="n">
        <x:v>0</x:v>
      </x:c>
      <x:c r="D15" s="43" t="str">
        <x:v>Lefas et al. (1990b)</x:v>
      </x:c>
      <x:c r="E15" s="43" t="str">
        <x:v>SW30</x:v>
      </x:c>
      <x:c r="F15" s="45" t="n">
        <x:v>1</x:v>
      </x:c>
      <x:c r="G15" s="44" t="str">
        <x:v>Flexural</x:v>
      </x:c>
      <x:c r="H15" s="46" t="n">
        <x:v>2.1153846153846154</x:v>
      </x:c>
      <x:c r="I15" s="46" t="n">
        <x:v>10</x:v>
      </x:c>
      <x:c r="J15" s="46" t="n">
        <x:v>0.23421926910299</x:v>
      </x:c>
      <x:c r="K15" s="46" t="n">
        <x:v>0.06046511627906977</x:v>
      </x:c>
      <x:c r="L15" s="46" t="n">
        <x:v>0.5152823920265781</x:v>
      </x:c>
      <x:c r="M15" s="46" t="n">
        <x:v>0.15548172757475082</x:v>
      </x:c>
      <x:c r="N15" s="46" t="n">
        <x:v>0</x:v>
      </x:c>
      <x:c r="O15" s="48" t="str">
        <x:v>R</x:v>
      </x:c>
      <x:c r="P15" s="46" t="n">
        <x:v>0</x:v>
      </x:c>
      <x:c r="Q15" s="45" t="n">
        <x:v>1</x:v>
      </x:c>
    </x:row>
    <x:row r="16">
      <x:c r="A16" s="45" t="n">
        <x:v>15</x:v>
      </x:c>
      <x:c r="B16" s="45" t="n">
        <x:v>15</x:v>
      </x:c>
      <x:c r="C16" s="45" t="n">
        <x:v>0</x:v>
      </x:c>
      <x:c r="D16" s="43" t="str">
        <x:v>Lefas et al. (1990b)</x:v>
      </x:c>
      <x:c r="E16" s="43" t="str">
        <x:v>SW31</x:v>
      </x:c>
      <x:c r="F16" s="45" t="n">
        <x:v>1</x:v>
      </x:c>
      <x:c r="G16" s="44" t="str">
        <x:v>Flexural</x:v>
      </x:c>
      <x:c r="H16" s="46" t="n">
        <x:v>2.1153846153846154</x:v>
      </x:c>
      <x:c r="I16" s="46" t="n">
        <x:v>10</x:v>
      </x:c>
      <x:c r="J16" s="46" t="n">
        <x:v>0.20028409090909088</x:v>
      </x:c>
      <x:c r="K16" s="46" t="n">
        <x:v>0.051704545454545454</x:v>
      </x:c>
      <x:c r="L16" s="46" t="n">
        <x:v>0.440625</x:v>
      </x:c>
      <x:c r="M16" s="46" t="n">
        <x:v>0.13295454545454544</x:v>
      </x:c>
      <x:c r="N16" s="46" t="n">
        <x:v>0</x:v>
      </x:c>
      <x:c r="O16" s="48" t="str">
        <x:v>R</x:v>
      </x:c>
      <x:c r="P16" s="46" t="n">
        <x:v>0</x:v>
      </x:c>
      <x:c r="Q16" s="45" t="n">
        <x:v>1</x:v>
      </x:c>
    </x:row>
    <x:row r="17">
      <x:c r="A17" s="45" t="n">
        <x:v>16</x:v>
      </x:c>
      <x:c r="B17" s="45" t="n">
        <x:v>17</x:v>
      </x:c>
      <x:c r="C17" s="45" t="n">
        <x:v>0</x:v>
      </x:c>
      <x:c r="D17" s="43" t="str">
        <x:v>Lefas et al. (1990b)</x:v>
      </x:c>
      <x:c r="E17" s="43" t="str">
        <x:v>SW32</x:v>
      </x:c>
      <x:c r="F17" s="45" t="n">
        <x:v>1</x:v>
      </x:c>
      <x:c r="G17" s="44" t="str">
        <x:v>Flexural</x:v>
      </x:c>
      <x:c r="H17" s="46" t="n">
        <x:v>2.1153846153846154</x:v>
      </x:c>
      <x:c r="I17" s="46" t="n">
        <x:v>10</x:v>
      </x:c>
      <x:c r="J17" s="46" t="n">
        <x:v>0.13152985074626866</x:v>
      </x:c>
      <x:c r="K17" s="46" t="n">
        <x:v>0.03395522388059702</x:v>
      </x:c>
      <x:c r="L17" s="46" t="n">
        <x:v>0.28936567164179106</x:v>
      </x:c>
      <x:c r="M17" s="46" t="n">
        <x:v>0.08731343283582088</x:v>
      </x:c>
      <x:c r="N17" s="46" t="n">
        <x:v>0</x:v>
      </x:c>
      <x:c r="O17" s="48" t="str">
        <x:v>R</x:v>
      </x:c>
      <x:c r="P17" s="46" t="n">
        <x:v>0</x:v>
      </x:c>
      <x:c r="Q17" s="45" t="n">
        <x:v>1</x:v>
      </x:c>
    </x:row>
    <x:row r="18">
      <x:c r="A18" s="45" t="n">
        <x:v>17</x:v>
      </x:c>
      <x:c r="B18" s="45" t="n">
        <x:v>19</x:v>
      </x:c>
      <x:c r="C18" s="45" t="n">
        <x:v>0</x:v>
      </x:c>
      <x:c r="D18" s="43" t="str">
        <x:v>Lefas et al. (1990b)</x:v>
      </x:c>
      <x:c r="E18" s="43" t="str">
        <x:v>SW33</x:v>
      </x:c>
      <x:c r="F18" s="45" t="n">
        <x:v>1</x:v>
      </x:c>
      <x:c r="G18" s="44" t="str">
        <x:v>Flexural</x:v>
      </x:c>
      <x:c r="H18" s="46" t="n">
        <x:v>2.1153846153846154</x:v>
      </x:c>
      <x:c r="I18" s="46" t="n">
        <x:v>10</x:v>
      </x:c>
      <x:c r="J18" s="46" t="n">
        <x:v>0.14329268292682926</x:v>
      </x:c>
      <x:c r="K18" s="46" t="n">
        <x:v>0.03699186991869918</x:v>
      </x:c>
      <x:c r="L18" s="46" t="n">
        <x:v>0.3152439024390244</x:v>
      </x:c>
      <x:c r="M18" s="46" t="n">
        <x:v>0.09512195121951218</x:v>
      </x:c>
      <x:c r="N18" s="46" t="n">
        <x:v>0</x:v>
      </x:c>
      <x:c r="O18" s="48" t="str">
        <x:v>R</x:v>
      </x:c>
      <x:c r="P18" s="46" t="n">
        <x:v>0</x:v>
      </x:c>
      <x:c r="Q18" s="45" t="n">
        <x:v>1</x:v>
      </x:c>
    </x:row>
    <x:row r="19">
      <x:c r="A19" s="45" t="n">
        <x:v>18</x:v>
      </x:c>
      <x:c r="B19" s="45" t="n">
        <x:v>39</x:v>
      </x:c>
      <x:c r="C19" s="45" t="n">
        <x:v>0</x:v>
      </x:c>
      <x:c r="D19" s="43" t="str">
        <x:v>Pilakoutas et al. (1995)</x:v>
      </x:c>
      <x:c r="E19" s="43" t="str">
        <x:v>SW4</x:v>
      </x:c>
      <x:c r="F19" s="45" t="n">
        <x:v>1</x:v>
      </x:c>
      <x:c r="G19" s="44" t="str">
        <x:v>Flexural</x:v>
      </x:c>
      <x:c r="H19" s="46" t="n">
        <x:v>2</x:v>
      </x:c>
      <x:c r="I19" s="46" t="n">
        <x:v>10</x:v>
      </x:c>
      <x:c r="J19" s="46" t="n">
        <x:v>0.046205962059620596</x:v>
      </x:c>
      <x:c r="K19" s="46" t="n">
        <x:v>0.058130081300813014</x:v>
      </x:c>
      <x:c r="L19" s="46" t="n">
        <x:v>0.38346883468834686</x:v>
      </x:c>
      <x:c r="M19" s="46" t="n">
        <x:v>0.11626016260162603</x:v>
      </x:c>
      <x:c r="N19" s="46" t="n">
        <x:v>0</x:v>
      </x:c>
      <x:c r="O19" s="48" t="str">
        <x:v>R</x:v>
      </x:c>
      <x:c r="P19" s="46" t="n">
        <x:v>0</x:v>
      </x:c>
      <x:c r="Q19" s="45" t="n">
        <x:v>1</x:v>
      </x:c>
    </x:row>
    <x:row r="20">
      <x:c r="A20" s="45" t="n">
        <x:v>19</x:v>
      </x:c>
      <x:c r="B20" s="45" t="n">
        <x:v>40</x:v>
      </x:c>
      <x:c r="C20" s="45" t="n">
        <x:v>0</x:v>
      </x:c>
      <x:c r="D20" s="43" t="str">
        <x:v>Pilakoutas et al. (1995)</x:v>
      </x:c>
      <x:c r="E20" s="43" t="str">
        <x:v>SW5</x:v>
      </x:c>
      <x:c r="F20" s="45" t="n">
        <x:v>3</x:v>
      </x:c>
      <x:c r="G20" s="44" t="str">
        <x:v>Flex-Shear</x:v>
      </x:c>
      <x:c r="H20" s="46" t="n">
        <x:v>2</x:v>
      </x:c>
      <x:c r="I20" s="46" t="n">
        <x:v>10</x:v>
      </x:c>
      <x:c r="J20" s="46" t="n">
        <x:v>0.08128930817610062</x:v>
      </x:c>
      <x:c r="K20" s="46" t="n">
        <x:v>0.0389937106918239</x:v>
      </x:c>
      <x:c r="L20" s="46" t="n">
        <x:v>0.5128301886792452</x:v>
      </x:c>
      <x:c r="M20" s="46" t="n">
        <x:v>0.021383647798742137</x:v>
      </x:c>
      <x:c r="N20" s="46" t="n">
        <x:v>0</x:v>
      </x:c>
      <x:c r="O20" s="48" t="str">
        <x:v>R</x:v>
      </x:c>
      <x:c r="P20" s="46" t="n">
        <x:v>0</x:v>
      </x:c>
      <x:c r="Q20" s="45" t="n">
        <x:v>1</x:v>
      </x:c>
    </x:row>
    <x:row r="21">
      <x:c r="A21" s="45" t="n">
        <x:v>20</x:v>
      </x:c>
      <x:c r="B21" s="45" t="n">
        <x:v>41</x:v>
      </x:c>
      <x:c r="C21" s="45" t="n">
        <x:v>0</x:v>
      </x:c>
      <x:c r="D21" s="43" t="str">
        <x:v>Pilakoutas et al. (1995)</x:v>
      </x:c>
      <x:c r="E21" s="43" t="str">
        <x:v>SW6</x:v>
      </x:c>
      <x:c r="F21" s="45" t="n">
        <x:v>2</x:v>
      </x:c>
      <x:c r="G21" s="44" t="str">
        <x:v>Shear</x:v>
      </x:c>
      <x:c r="H21" s="46" t="n">
        <x:v>2</x:v>
      </x:c>
      <x:c r="I21" s="46" t="n">
        <x:v>10</x:v>
      </x:c>
      <x:c r="J21" s="46" t="n">
        <x:v>0.044170984455958545</x:v>
      </x:c>
      <x:c r="K21" s="46" t="n">
        <x:v>0.03212435233160622</x:v>
      </x:c>
      <x:c r="L21" s="46" t="n">
        <x:v>0.366580310880829</x:v>
      </x:c>
      <x:c r="M21" s="46" t="n">
        <x:v>0.017616580310880828</x:v>
      </x:c>
      <x:c r="N21" s="46" t="n">
        <x:v>0</x:v>
      </x:c>
      <x:c r="O21" s="48" t="str">
        <x:v>R</x:v>
      </x:c>
      <x:c r="P21" s="46" t="n">
        <x:v>0</x:v>
      </x:c>
      <x:c r="Q21" s="45" t="n">
        <x:v>1</x:v>
      </x:c>
    </x:row>
    <x:row r="22">
      <x:c r="A22" s="45" t="n">
        <x:v>21</x:v>
      </x:c>
      <x:c r="B22" s="45" t="n">
        <x:v>42</x:v>
      </x:c>
      <x:c r="C22" s="45" t="n">
        <x:v>0</x:v>
      </x:c>
      <x:c r="D22" s="43" t="str">
        <x:v>Pilakoutas et al. (1995)</x:v>
      </x:c>
      <x:c r="E22" s="43" t="str">
        <x:v>SW7</x:v>
      </x:c>
      <x:c r="F22" s="45" t="n">
        <x:v>2</x:v>
      </x:c>
      <x:c r="G22" s="44" t="str">
        <x:v>Shear</x:v>
      </x:c>
      <x:c r="H22" s="46" t="n">
        <x:v>2</x:v>
      </x:c>
      <x:c r="I22" s="46" t="n">
        <x:v>10</x:v>
      </x:c>
      <x:c r="J22" s="46" t="n">
        <x:v>0.08078125</x:v>
      </x:c>
      <x:c r="K22" s="46" t="n">
        <x:v>0.06703125</x:v>
      </x:c>
      <x:c r="L22" s="46" t="n">
        <x:v>0.509625</x:v>
      </x:c>
      <x:c r="M22" s="46" t="n">
        <x:v>0.1340625</x:v>
      </x:c>
      <x:c r="N22" s="46" t="n">
        <x:v>0</x:v>
      </x:c>
      <x:c r="O22" s="48" t="str">
        <x:v>R</x:v>
      </x:c>
      <x:c r="P22" s="46" t="n">
        <x:v>0</x:v>
      </x:c>
      <x:c r="Q22" s="45" t="n">
        <x:v>1</x:v>
      </x:c>
    </x:row>
    <x:row r="23">
      <x:c r="A23" s="45" t="n">
        <x:v>22</x:v>
      </x:c>
      <x:c r="B23" s="45" t="n">
        <x:v>43</x:v>
      </x:c>
      <x:c r="C23" s="45" t="n">
        <x:v>0</x:v>
      </x:c>
      <x:c r="D23" s="43" t="str">
        <x:v>Pilakoutas et al. (1995)</x:v>
      </x:c>
      <x:c r="E23" s="43" t="str">
        <x:v>SW8</x:v>
      </x:c>
      <x:c r="F23" s="45" t="n">
        <x:v>1</x:v>
      </x:c>
      <x:c r="G23" s="44" t="str">
        <x:v>Flexural</x:v>
      </x:c>
      <x:c r="H23" s="46" t="n">
        <x:v>2</x:v>
      </x:c>
      <x:c r="I23" s="46" t="n">
        <x:v>10</x:v>
      </x:c>
      <x:c r="J23" s="46" t="n">
        <x:v>0.03722707423580786</x:v>
      </x:c>
      <x:c r="K23" s="46" t="n">
        <x:v>0.027074235807860263</x:v>
      </x:c>
      <x:c r="L23" s="46" t="n">
        <x:v>0.3454585152838428</x:v>
      </x:c>
      <x:c r="M23" s="46" t="n">
        <x:v>0.03580786026200874</x:v>
      </x:c>
      <x:c r="N23" s="46" t="n">
        <x:v>0</x:v>
      </x:c>
      <x:c r="O23" s="48" t="str">
        <x:v>R</x:v>
      </x:c>
      <x:c r="P23" s="46" t="n">
        <x:v>0</x:v>
      </x:c>
      <x:c r="Q23" s="45" t="n">
        <x:v>1</x:v>
      </x:c>
    </x:row>
    <x:row r="24">
      <x:c r="A24" s="45" t="n">
        <x:v>23</x:v>
      </x:c>
      <x:c r="B24" s="45" t="n">
        <x:v>44</x:v>
      </x:c>
      <x:c r="C24" s="45" t="n">
        <x:v>0</x:v>
      </x:c>
      <x:c r="D24" s="43" t="str">
        <x:v>Pilakoutas et al. (1995)</x:v>
      </x:c>
      <x:c r="E24" s="43" t="str">
        <x:v>SW9</x:v>
      </x:c>
      <x:c r="F24" s="45" t="n">
        <x:v>1</x:v>
      </x:c>
      <x:c r="G24" s="44" t="str">
        <x:v>Flexural</x:v>
      </x:c>
      <x:c r="H24" s="46" t="n">
        <x:v>2</x:v>
      </x:c>
      <x:c r="I24" s="46" t="n">
        <x:v>10</x:v>
      </x:c>
      <x:c r="J24" s="46" t="n">
        <x:v>0.04383033419023136</x:v>
      </x:c>
      <x:c r="K24" s="46" t="n">
        <x:v>0.031876606683804626</x:v>
      </x:c>
      <x:c r="L24" s="46" t="n">
        <x:v>0.4067352185089974</x:v>
      </x:c>
      <x:c r="M24" s="46" t="n">
        <x:v>0.04627249357326478</x:v>
      </x:c>
      <x:c r="N24" s="46" t="n">
        <x:v>0</x:v>
      </x:c>
      <x:c r="O24" s="48" t="str">
        <x:v>R</x:v>
      </x:c>
      <x:c r="P24" s="46" t="n">
        <x:v>0</x:v>
      </x:c>
      <x:c r="Q24" s="45" t="n">
        <x:v>1</x:v>
      </x:c>
    </x:row>
    <x:row r="25">
      <x:c r="A25" s="45" t="n">
        <x:v>24</x:v>
      </x:c>
      <x:c r="B25" s="45" t="n">
        <x:v>45</x:v>
      </x:c>
      <x:c r="C25" s="45" t="n">
        <x:v>0</x:v>
      </x:c>
      <x:c r="D25" s="43" t="str">
        <x:v>Salonikios et al. (1999)</x:v>
      </x:c>
      <x:c r="E25" s="43" t="str">
        <x:v>LSW1</x:v>
      </x:c>
      <x:c r="F25" s="45" t="n">
        <x:v>4</x:v>
      </x:c>
      <x:c r="G25" s="44" t="str">
        <x:v>Sliding</x:v>
      </x:c>
      <x:c r="H25" s="46" t="n">
        <x:v>1</x:v>
      </x:c>
      <x:c r="I25" s="46" t="n">
        <x:v>12</x:v>
      </x:c>
      <x:c r="J25" s="46" t="n">
        <x:v>0.15662162162162163</x:v>
      </x:c>
      <x:c r="K25" s="46" t="n">
        <x:v>0.15662162162162163</x:v>
      </x:c>
      <x:c r="L25" s="46" t="n">
        <x:v>0.447972972972973</x:v>
      </x:c>
      <x:c r="M25" s="46" t="n">
        <x:v>0.4671171171171172</x:v>
      </x:c>
      <x:c r="N25" s="46" t="n">
        <x:v>0</x:v>
      </x:c>
      <x:c r="O25" s="48" t="str">
        <x:v>R</x:v>
      </x:c>
      <x:c r="P25" s="46" t="n">
        <x:v>0</x:v>
      </x:c>
      <x:c r="Q25" s="45" t="n">
        <x:v>1</x:v>
      </x:c>
    </x:row>
    <x:row r="26">
      <x:c r="A26" s="45" t="n">
        <x:v>25</x:v>
      </x:c>
      <x:c r="B26" s="45" t="n">
        <x:v>46</x:v>
      </x:c>
      <x:c r="C26" s="45" t="n">
        <x:v>0</x:v>
      </x:c>
      <x:c r="D26" s="43" t="str">
        <x:v>Salonikios et al. (1999)</x:v>
      </x:c>
      <x:c r="E26" s="43" t="str">
        <x:v>LSW2</x:v>
      </x:c>
      <x:c r="F26" s="45" t="n">
        <x:v>4</x:v>
      </x:c>
      <x:c r="G26" s="44" t="str">
        <x:v>Sliding</x:v>
      </x:c>
      <x:c r="H26" s="46" t="n">
        <x:v>1</x:v>
      </x:c>
      <x:c r="I26" s="46" t="n">
        <x:v>12</x:v>
      </x:c>
      <x:c r="J26" s="46" t="n">
        <x:v>0.07907407407407406</x:v>
      </x:c>
      <x:c r="K26" s="46" t="n">
        <x:v>0.07907407407407406</x:v>
      </x:c>
      <x:c r="L26" s="46" t="n">
        <x:v>0.3520833333333333</x:v>
      </x:c>
      <x:c r="M26" s="46" t="n">
        <x:v>0.4800925925925926</x:v>
      </x:c>
      <x:c r="N26" s="46" t="n">
        <x:v>0</x:v>
      </x:c>
      <x:c r="O26" s="48" t="str">
        <x:v>R</x:v>
      </x:c>
      <x:c r="P26" s="46" t="n">
        <x:v>0</x:v>
      </x:c>
      <x:c r="Q26" s="45" t="n">
        <x:v>1</x:v>
      </x:c>
    </x:row>
    <x:row r="27">
      <x:c r="A27" s="45" t="n">
        <x:v>26</x:v>
      </x:c>
      <x:c r="B27" s="45" t="n">
        <x:v>47</x:v>
      </x:c>
      <x:c r="C27" s="45" t="n">
        <x:v>0</x:v>
      </x:c>
      <x:c r="D27" s="43" t="str">
        <x:v>Salonikios et al. (1999)</x:v>
      </x:c>
      <x:c r="E27" s="43" t="str">
        <x:v>LSW3</x:v>
      </x:c>
      <x:c r="F27" s="45" t="n">
        <x:v>4</x:v>
      </x:c>
      <x:c r="G27" s="44" t="str">
        <x:v>Sliding</x:v>
      </x:c>
      <x:c r="H27" s="46" t="n">
        <x:v>1</x:v>
      </x:c>
      <x:c r="I27" s="46" t="n">
        <x:v>12</x:v>
      </x:c>
      <x:c r="J27" s="46" t="n">
        <x:v>0.07146443514644352</x:v>
      </x:c>
      <x:c r="K27" s="46" t="n">
        <x:v>0.07146443514644352</x:v>
      </x:c>
      <x:c r="L27" s="46" t="n">
        <x:v>0.31820083682008365</x:v>
      </x:c>
      <x:c r="M27" s="46" t="n">
        <x:v>0.4338912133891214</x:v>
      </x:c>
      <x:c r="N27" s="46" t="n">
        <x:v>0.07</x:v>
      </x:c>
      <x:c r="O27" s="48" t="str">
        <x:v>R</x:v>
      </x:c>
      <x:c r="P27" s="46" t="n">
        <x:v>0</x:v>
      </x:c>
      <x:c r="Q27" s="45" t="n">
        <x:v>1</x:v>
      </x:c>
    </x:row>
    <x:row r="28">
      <x:c r="A28" s="45" t="n">
        <x:v>27</x:v>
      </x:c>
      <x:c r="B28" s="45" t="n">
        <x:v>50</x:v>
      </x:c>
      <x:c r="C28" s="45" t="n">
        <x:v>0</x:v>
      </x:c>
      <x:c r="D28" s="43" t="str">
        <x:v>Salonikios et al. (1999)</x:v>
      </x:c>
      <x:c r="E28" s="43" t="str">
        <x:v>MSW1</x:v>
      </x:c>
      <x:c r="F28" s="45" t="n">
        <x:v>1</x:v>
      </x:c>
      <x:c r="G28" s="44" t="str">
        <x:v>Flexural</x:v>
      </x:c>
      <x:c r="H28" s="46" t="n">
        <x:v>1.5</x:v>
      </x:c>
      <x:c r="I28" s="46" t="n">
        <x:v>12</x:v>
      </x:c>
      <x:c r="J28" s="46" t="n">
        <x:v>0.1332183908045977</x:v>
      </x:c>
      <x:c r="K28" s="46" t="n">
        <x:v>0.1332183908045977</x:v>
      </x:c>
      <x:c r="L28" s="46" t="n">
        <x:v>0.3810344827586207</x:v>
      </x:c>
      <x:c r="M28" s="46" t="n">
        <x:v>0.25708812260536396</x:v>
      </x:c>
      <x:c r="N28" s="46" t="n">
        <x:v>0</x:v>
      </x:c>
      <x:c r="O28" s="48" t="str">
        <x:v>R</x:v>
      </x:c>
      <x:c r="P28" s="46" t="n">
        <x:v>0</x:v>
      </x:c>
      <x:c r="Q28" s="45" t="n">
        <x:v>1</x:v>
      </x:c>
    </x:row>
    <x:row r="29">
      <x:c r="A29" s="45" t="n">
        <x:v>28</x:v>
      </x:c>
      <x:c r="B29" s="45" t="n">
        <x:v>51</x:v>
      </x:c>
      <x:c r="C29" s="45" t="n">
        <x:v>0</x:v>
      </x:c>
      <x:c r="D29" s="43" t="str">
        <x:v>Salonikios et al. (1999)</x:v>
      </x:c>
      <x:c r="E29" s="43" t="str">
        <x:v>MSW2</x:v>
      </x:c>
      <x:c r="F29" s="45" t="n">
        <x:v>1</x:v>
      </x:c>
      <x:c r="G29" s="44" t="str">
        <x:v>Flexural</x:v>
      </x:c>
      <x:c r="H29" s="46" t="n">
        <x:v>1.5</x:v>
      </x:c>
      <x:c r="I29" s="46" t="n">
        <x:v>12</x:v>
      </x:c>
      <x:c r="J29" s="46" t="n">
        <x:v>0.06519083969465649</x:v>
      </x:c>
      <x:c r="K29" s="46" t="n">
        <x:v>0.06519083969465649</x:v>
      </x:c>
      <x:c r="L29" s="46" t="n">
        <x:v>0.2902671755725191</x:v>
      </x:c>
      <x:c r="M29" s="46" t="n">
        <x:v>0.25610687022900763</x:v>
      </x:c>
      <x:c r="N29" s="46" t="n">
        <x:v>0</x:v>
      </x:c>
      <x:c r="O29" s="48" t="str">
        <x:v>R</x:v>
      </x:c>
      <x:c r="P29" s="46" t="n">
        <x:v>0</x:v>
      </x:c>
      <x:c r="Q29" s="45" t="n">
        <x:v>1</x:v>
      </x:c>
    </x:row>
    <x:row r="30">
      <x:c r="A30" s="45" t="n">
        <x:v>29</x:v>
      </x:c>
      <x:c r="B30" s="45" t="n">
        <x:v>52</x:v>
      </x:c>
      <x:c r="C30" s="45" t="n">
        <x:v>0</x:v>
      </x:c>
      <x:c r="D30" s="43" t="str">
        <x:v>Salonikios et al. (1999)</x:v>
      </x:c>
      <x:c r="E30" s="43" t="str">
        <x:v>MSW3</x:v>
      </x:c>
      <x:c r="F30" s="45" t="n">
        <x:v>1</x:v>
      </x:c>
      <x:c r="G30" s="44" t="str">
        <x:v>Flexural</x:v>
      </x:c>
      <x:c r="H30" s="46" t="n">
        <x:v>1.5</x:v>
      </x:c>
      <x:c r="I30" s="46" t="n">
        <x:v>12</x:v>
      </x:c>
      <x:c r="J30" s="46" t="n">
        <x:v>0.0708713692946058</x:v>
      </x:c>
      <x:c r="K30" s="46" t="n">
        <x:v>0.0708713692946058</x:v>
      </x:c>
      <x:c r="L30" s="46" t="n">
        <x:v>0.3155601659751037</x:v>
      </x:c>
      <x:c r="M30" s="46" t="n">
        <x:v>0.2784232365145228</x:v>
      </x:c>
      <x:c r="N30" s="46" t="n">
        <x:v>0.07</x:v>
      </x:c>
      <x:c r="O30" s="48" t="str">
        <x:v>R</x:v>
      </x:c>
      <x:c r="P30" s="46" t="n">
        <x:v>0</x:v>
      </x:c>
      <x:c r="Q30" s="45" t="n">
        <x:v>1</x:v>
      </x:c>
    </x:row>
    <x:row r="31">
      <x:c r="A31" s="45" t="n">
        <x:v>30</x:v>
      </x:c>
      <x:c r="B31" s="45" t="n">
        <x:v>56</x:v>
      </x:c>
      <x:c r="C31" s="45" t="n">
        <x:v>0</x:v>
      </x:c>
      <x:c r="D31" s="43" t="str">
        <x:v>Park et al. (2015)</x:v>
      </x:c>
      <x:c r="E31" s="43" t="str">
        <x:v>S1</x:v>
      </x:c>
      <x:c r="F31" s="45" t="n">
        <x:v>3</x:v>
      </x:c>
      <x:c r="G31" s="44" t="str">
        <x:v>Flex-Shear</x:v>
      </x:c>
      <x:c r="H31" s="46" t="n">
        <x:v>1.1666666666666667</x:v>
      </x:c>
      <x:c r="I31" s="46" t="n">
        <x:v>7.5</x:v>
      </x:c>
      <x:c r="J31" s="46" t="n">
        <x:v>0.09268387096774194</x:v>
      </x:c>
      <x:c r="K31" s="46" t="n">
        <x:v>0.07315483870967743</x:v>
      </x:c>
      <x:c r="L31" s="46" t="n">
        <x:v>1.2870752688172045</x:v>
      </x:c>
      <x:c r="M31" s="46" t="n">
        <x:v>0</x:v>
      </x:c>
      <x:c r="N31" s="46" t="n">
        <x:v>0.06953405017921147</x:v>
      </x:c>
      <x:c r="O31" s="48" t="str">
        <x:v>R</x:v>
      </x:c>
      <x:c r="P31" s="46" t="n">
        <x:v>0</x:v>
      </x:c>
      <x:c r="Q31" s="45" t="n">
        <x:v>1</x:v>
      </x:c>
    </x:row>
    <x:row r="32">
      <x:c r="A32" s="45" t="n">
        <x:v>31</x:v>
      </x:c>
      <x:c r="B32" s="45" t="n">
        <x:v>57</x:v>
      </x:c>
      <x:c r="C32" s="45" t="n">
        <x:v>0</x:v>
      </x:c>
      <x:c r="D32" s="43" t="str">
        <x:v>Park et al. (2015)</x:v>
      </x:c>
      <x:c r="E32" s="43" t="str">
        <x:v>S2</x:v>
      </x:c>
      <x:c r="F32" s="45" t="n">
        <x:v>3</x:v>
      </x:c>
      <x:c r="G32" s="44" t="str">
        <x:v>Flex-Shear</x:v>
      </x:c>
      <x:c r="H32" s="46" t="n">
        <x:v>1.1666666666666667</x:v>
      </x:c>
      <x:c r="I32" s="46" t="n">
        <x:v>7.5</x:v>
      </x:c>
      <x:c r="J32" s="46" t="n">
        <x:v>0.09268387096774194</x:v>
      </x:c>
      <x:c r="K32" s="46" t="n">
        <x:v>0.06975483870967741</x:v>
      </x:c>
      <x:c r="L32" s="46" t="n">
        <x:v>1.2870752688172045</x:v>
      </x:c>
      <x:c r="M32" s="46" t="n">
        <x:v>0</x:v>
      </x:c>
      <x:c r="N32" s="46" t="n">
        <x:v>0.06953405017921147</x:v>
      </x:c>
      <x:c r="O32" s="48" t="str">
        <x:v>R</x:v>
      </x:c>
      <x:c r="P32" s="46" t="n">
        <x:v>0</x:v>
      </x:c>
      <x:c r="Q32" s="45" t="n">
        <x:v>1</x:v>
      </x:c>
    </x:row>
    <x:row r="33">
      <x:c r="A33" s="45" t="n">
        <x:v>32</x:v>
      </x:c>
      <x:c r="B33" s="45" t="n">
        <x:v>58</x:v>
      </x:c>
      <x:c r="C33" s="45" t="n">
        <x:v>0</x:v>
      </x:c>
      <x:c r="D33" s="43" t="str">
        <x:v>Park et al. (2015)</x:v>
      </x:c>
      <x:c r="E33" s="43" t="str">
        <x:v>S3</x:v>
      </x:c>
      <x:c r="F33" s="45" t="n">
        <x:v>3</x:v>
      </x:c>
      <x:c r="G33" s="44" t="str">
        <x:v>Flex-Shear</x:v>
      </x:c>
      <x:c r="H33" s="46" t="n">
        <x:v>1.1666666666666667</x:v>
      </x:c>
      <x:c r="I33" s="46" t="n">
        <x:v>7.5</x:v>
      </x:c>
      <x:c r="J33" s="46" t="n">
        <x:v>0.06130583214793742</x:v>
      </x:c>
      <x:c r="K33" s="46" t="n">
        <x:v>0.048388335704125186</x:v>
      </x:c>
      <x:c r="L33" s="46" t="n">
        <x:v>0.8513371266002846</x:v>
      </x:c>
      <x:c r="M33" s="46" t="n">
        <x:v>0</x:v>
      </x:c>
      <x:c r="N33" s="46" t="n">
        <x:v>0.06970128022759602</x:v>
      </x:c>
      <x:c r="O33" s="48" t="str">
        <x:v>R</x:v>
      </x:c>
      <x:c r="P33" s="46" t="n">
        <x:v>0</x:v>
      </x:c>
      <x:c r="Q33" s="45" t="n">
        <x:v>1</x:v>
      </x:c>
    </x:row>
    <x:row r="34">
      <x:c r="A34" s="45" t="n">
        <x:v>33</x:v>
      </x:c>
      <x:c r="B34" s="45" t="n">
        <x:v>59</x:v>
      </x:c>
      <x:c r="C34" s="45" t="n">
        <x:v>0</x:v>
      </x:c>
      <x:c r="D34" s="43" t="str">
        <x:v>Park et al. (2015)</x:v>
      </x:c>
      <x:c r="E34" s="43" t="str">
        <x:v>S4</x:v>
      </x:c>
      <x:c r="F34" s="45" t="n">
        <x:v>3</x:v>
      </x:c>
      <x:c r="G34" s="44" t="str">
        <x:v>Flex-Shear</x:v>
      </x:c>
      <x:c r="H34" s="46" t="n">
        <x:v>1.1666666666666667</x:v>
      </x:c>
      <x:c r="I34" s="46" t="n">
        <x:v>7.5</x:v>
      </x:c>
      <x:c r="J34" s="46" t="n">
        <x:v>0.07583225806451613</x:v>
      </x:c>
      <x:c r="K34" s="46" t="n">
        <x:v>0.07315483870967743</x:v>
      </x:c>
      <x:c r="L34" s="46" t="n">
        <x:v>1.2870752688172045</x:v>
      </x:c>
      <x:c r="M34" s="46" t="n">
        <x:v>0.7143354838709677</x:v>
      </x:c>
      <x:c r="N34" s="46" t="n">
        <x:v>0.07273877292852625</x:v>
      </x:c>
      <x:c r="O34" s="48" t="str">
        <x:v>B</x:v>
      </x:c>
      <x:c r="P34" s="46" t="n">
        <x:v>0.17647058823529413</x:v>
      </x:c>
      <x:c r="Q34" s="45" t="n">
        <x:v>1</x:v>
      </x:c>
    </x:row>
    <x:row r="35">
      <x:c r="A35" s="45" t="n">
        <x:v>34</x:v>
      </x:c>
      <x:c r="B35" s="45" t="n">
        <x:v>60</x:v>
      </x:c>
      <x:c r="C35" s="45" t="n">
        <x:v>0</x:v>
      </x:c>
      <x:c r="D35" s="43" t="str">
        <x:v>Park et al. (2015)</x:v>
      </x:c>
      <x:c r="E35" s="43" t="str">
        <x:v>S5</x:v>
      </x:c>
      <x:c r="F35" s="45" t="n">
        <x:v>3</x:v>
      </x:c>
      <x:c r="G35" s="44" t="str">
        <x:v>Flex-Shear</x:v>
      </x:c>
      <x:c r="H35" s="46" t="n">
        <x:v>1.1666666666666667</x:v>
      </x:c>
      <x:c r="I35" s="46" t="n">
        <x:v>7.5</x:v>
      </x:c>
      <x:c r="J35" s="46" t="n">
        <x:v>0.05099349240780911</x:v>
      </x:c>
      <x:c r="K35" s="46" t="n">
        <x:v>0.036171366594360085</x:v>
      </x:c>
      <x:c r="L35" s="46" t="n">
        <x:v>1.2982429501084598</x:v>
      </x:c>
      <x:c r="M35" s="46" t="n">
        <x:v>0</x:v>
      </x:c>
      <x:c r="N35" s="46" t="n">
        <x:v>0.07013738250180766</x:v>
      </x:c>
      <x:c r="O35" s="48" t="str">
        <x:v>R</x:v>
      </x:c>
      <x:c r="P35" s="46" t="n">
        <x:v>0</x:v>
      </x:c>
      <x:c r="Q35" s="45" t="n">
        <x:v>1</x:v>
      </x:c>
    </x:row>
    <x:row r="36">
      <x:c r="A36" s="45" t="n">
        <x:v>35</x:v>
      </x:c>
      <x:c r="B36" s="45" t="n">
        <x:v>61</x:v>
      </x:c>
      <x:c r="C36" s="45" t="n">
        <x:v>0</x:v>
      </x:c>
      <x:c r="D36" s="43" t="str">
        <x:v>Park et al. (2015)</x:v>
      </x:c>
      <x:c r="E36" s="43" t="str">
        <x:v>S6</x:v>
      </x:c>
      <x:c r="F36" s="45" t="n">
        <x:v>3</x:v>
      </x:c>
      <x:c r="G36" s="44" t="str">
        <x:v>Flex-Shear</x:v>
      </x:c>
      <x:c r="H36" s="46" t="n">
        <x:v>1.1666666666666667</x:v>
      </x:c>
      <x:c r="I36" s="46" t="n">
        <x:v>7.5</x:v>
      </x:c>
      <x:c r="J36" s="46" t="n">
        <x:v>0.03343954480796586</x:v>
      </x:c>
      <x:c r="K36" s="46" t="n">
        <x:v>0.02371977240398293</x:v>
      </x:c>
      <x:c r="L36" s="46" t="n">
        <x:v>0.8513371266002846</x:v>
      </x:c>
      <x:c r="M36" s="46" t="n">
        <x:v>0</x:v>
      </x:c>
      <x:c r="N36" s="46" t="n">
        <x:v>0.06970128022759602</x:v>
      </x:c>
      <x:c r="O36" s="48" t="str">
        <x:v>R</x:v>
      </x:c>
      <x:c r="P36" s="46" t="n">
        <x:v>0</x:v>
      </x:c>
      <x:c r="Q36" s="45" t="n">
        <x:v>1</x:v>
      </x:c>
    </x:row>
    <x:row r="37">
      <x:c r="A37" s="45" t="n">
        <x:v>36</x:v>
      </x:c>
      <x:c r="B37" s="45" t="n">
        <x:v>62</x:v>
      </x:c>
      <x:c r="C37" s="45" t="n">
        <x:v>0</x:v>
      </x:c>
      <x:c r="D37" s="43" t="str">
        <x:v>Park et al. (2015)</x:v>
      </x:c>
      <x:c r="E37" s="43" t="str">
        <x:v>S7</x:v>
      </x:c>
      <x:c r="F37" s="45" t="n">
        <x:v>3</x:v>
      </x:c>
      <x:c r="G37" s="44" t="str">
        <x:v>Flex-Shear</x:v>
      </x:c>
      <x:c r="H37" s="46" t="n">
        <x:v>1.1666666666666667</x:v>
      </x:c>
      <x:c r="I37" s="46" t="n">
        <x:v>7.5</x:v>
      </x:c>
      <x:c r="J37" s="46" t="n">
        <x:v>0.05055483870967742</x:v>
      </x:c>
      <x:c r="K37" s="46" t="n">
        <x:v>0.03586021505376344</x:v>
      </x:c>
      <x:c r="L37" s="46" t="n">
        <x:v>1.2870752688172045</x:v>
      </x:c>
      <x:c r="M37" s="46" t="n">
        <x:v>0.8950709677419354</x:v>
      </x:c>
      <x:c r="N37" s="46" t="n">
        <x:v>0.06953405017921147</x:v>
      </x:c>
      <x:c r="O37" s="48" t="str">
        <x:v>R</x:v>
      </x:c>
      <x:c r="P37" s="46" t="n">
        <x:v>0</x:v>
      </x:c>
      <x:c r="Q37" s="45" t="n">
        <x:v>1</x:v>
      </x:c>
    </x:row>
    <x:row r="38">
      <x:c r="A38" s="45" t="n">
        <x:v>37</x:v>
      </x:c>
      <x:c r="B38" s="45" t="n">
        <x:v>63</x:v>
      </x:c>
      <x:c r="C38" s="45" t="n">
        <x:v>0</x:v>
      </x:c>
      <x:c r="D38" s="43" t="str">
        <x:v>Park et al. (2015)</x:v>
      </x:c>
      <x:c r="E38" s="43" t="str">
        <x:v>S8</x:v>
      </x:c>
      <x:c r="F38" s="45" t="n">
        <x:v>1</x:v>
      </x:c>
      <x:c r="G38" s="44" t="str">
        <x:v>Flexural</x:v>
      </x:c>
      <x:c r="H38" s="46" t="n">
        <x:v>1.1666666666666667</x:v>
      </x:c>
      <x:c r="I38" s="46" t="n">
        <x:v>7.5</x:v>
      </x:c>
      <x:c r="J38" s="46" t="n">
        <x:v>0.05055483870967742</x:v>
      </x:c>
      <x:c r="K38" s="46" t="n">
        <x:v>0.03586021505376344</x:v>
      </x:c>
      <x:c r="L38" s="46" t="n">
        <x:v>0.28086021505376346</x:v>
      </x:c>
      <x:c r="M38" s="46" t="n">
        <x:v>0.8893333333333333</x:v>
      </x:c>
      <x:c r="N38" s="46" t="n">
        <x:v>0.06953405017921147</x:v>
      </x:c>
      <x:c r="O38" s="48" t="str">
        <x:v>R</x:v>
      </x:c>
      <x:c r="P38" s="46" t="n">
        <x:v>0</x:v>
      </x:c>
      <x:c r="Q38" s="45" t="n">
        <x:v>1</x:v>
      </x:c>
    </x:row>
    <x:row r="39">
      <x:c r="A39" s="45" t="n">
        <x:v>38</x:v>
      </x:c>
      <x:c r="B39" s="45" t="n">
        <x:v>86</x:v>
      </x:c>
      <x:c r="C39" s="45" t="n">
        <x:v>1</x:v>
      </x:c>
      <x:c r="D39" s="43" t="str">
        <x:v>Teng and Chandra (2016)</x:v>
      </x:c>
      <x:c r="E39" s="43" t="str">
        <x:v>J1</x:v>
      </x:c>
      <x:c r="F39" s="45" t="n">
        <x:v>3</x:v>
      </x:c>
      <x:c r="G39" s="44" t="str">
        <x:v>Flex-Shear</x:v>
      </x:c>
      <x:c r="H39" s="46" t="n">
        <x:v>1.2</x:v>
      </x:c>
      <x:c r="I39" s="46" t="n">
        <x:v>10</x:v>
      </x:c>
      <x:c r="J39" s="46" t="n">
        <x:v>0.01653436592449177</x:v>
      </x:c>
      <x:c r="K39" s="46" t="n">
        <x:v>0.01653436592449177</x:v>
      </x:c>
      <x:c r="L39" s="46" t="n">
        <x:v>0.23663117134559536</x:v>
      </x:c>
      <x:c r="M39" s="46" t="n">
        <x:v>0.14939980638915779</x:v>
      </x:c>
      <x:c r="N39" s="46" t="n">
        <x:v>0.05</x:v>
      </x:c>
      <x:c r="O39" s="48" t="str">
        <x:v>F</x:v>
      </x:c>
      <x:c r="P39" s="46" t="n">
        <x:v>0.30612244897959184</x:v>
      </x:c>
      <x:c r="Q39" s="45" t="n">
        <x:v>1</x:v>
      </x:c>
    </x:row>
    <x:row r="40">
      <x:c r="A40" s="45" t="n">
        <x:v>39</x:v>
      </x:c>
      <x:c r="B40" s="45" t="n">
        <x:v>87</x:v>
      </x:c>
      <x:c r="C40" s="45" t="n">
        <x:v>1</x:v>
      </x:c>
      <x:c r="D40" s="43" t="str">
        <x:v>Teng and Chandra (2016)</x:v>
      </x:c>
      <x:c r="E40" s="43" t="str">
        <x:v>J2</x:v>
      </x:c>
      <x:c r="F40" s="45" t="n">
        <x:v>3</x:v>
      </x:c>
      <x:c r="G40" s="44" t="str">
        <x:v>Flex-Shear</x:v>
      </x:c>
      <x:c r="H40" s="46" t="n">
        <x:v>1.2</x:v>
      </x:c>
      <x:c r="I40" s="46" t="n">
        <x:v>10</x:v>
      </x:c>
      <x:c r="J40" s="46" t="n">
        <x:v>0.04478305785123967</x:v>
      </x:c>
      <x:c r="K40" s="46" t="n">
        <x:v>0.017644628099173554</x:v>
      </x:c>
      <x:c r="L40" s="46" t="n">
        <x:v>0.2525206611570248</x:v>
      </x:c>
      <x:c r="M40" s="46" t="n">
        <x:v>0.15943181818181817</x:v>
      </x:c>
      <x:c r="N40" s="46" t="n">
        <x:v>0.05</x:v>
      </x:c>
      <x:c r="O40" s="48" t="str">
        <x:v>F</x:v>
      </x:c>
      <x:c r="P40" s="46" t="n">
        <x:v>0.30612244897959184</x:v>
      </x:c>
      <x:c r="Q40" s="45" t="n">
        <x:v>1</x:v>
      </x:c>
    </x:row>
    <x:row r="41">
      <x:c r="A41" s="45" t="n">
        <x:v>40</x:v>
      </x:c>
      <x:c r="B41" s="45" t="n">
        <x:v>64</x:v>
      </x:c>
      <x:c r="C41" s="45" t="n">
        <x:v>0</x:v>
      </x:c>
      <x:c r="D41" s="43" t="str">
        <x:v>Teng and Chandra (2016)</x:v>
      </x:c>
      <x:c r="E41" s="43" t="str">
        <x:v>J3</x:v>
      </x:c>
      <x:c r="F41" s="45" t="n">
        <x:v>3</x:v>
      </x:c>
      <x:c r="G41" s="44" t="str">
        <x:v>Flex-Shear</x:v>
      </x:c>
      <x:c r="H41" s="46" t="n">
        <x:v>1.2</x:v>
      </x:c>
      <x:c r="I41" s="46" t="n">
        <x:v>10</x:v>
      </x:c>
      <x:c r="J41" s="46" t="n">
        <x:v>0.015429087624209574</x:v>
      </x:c>
      <x:c r="K41" s="46" t="n">
        <x:v>0.03915989159891599</x:v>
      </x:c>
      <x:c r="L41" s="46" t="n">
        <x:v>0.22081300813008128</x:v>
      </x:c>
      <x:c r="M41" s="46" t="n">
        <x:v>0.13209936766034328</x:v>
      </x:c>
      <x:c r="N41" s="46" t="n">
        <x:v>0.05</x:v>
      </x:c>
      <x:c r="O41" s="48" t="str">
        <x:v>F</x:v>
      </x:c>
      <x:c r="P41" s="46" t="n">
        <x:v>0.30612244897959184</x:v>
      </x:c>
      <x:c r="Q41" s="45" t="n">
        <x:v>1</x:v>
      </x:c>
    </x:row>
    <x:row r="42">
      <x:c r="A42" s="45" t="n">
        <x:v>41</x:v>
      </x:c>
      <x:c r="B42" s="45" t="n">
        <x:v>65</x:v>
      </x:c>
      <x:c r="C42" s="45" t="n">
        <x:v>0</x:v>
      </x:c>
      <x:c r="D42" s="43" t="str">
        <x:v>Teng and Chandra (2016)</x:v>
      </x:c>
      <x:c r="E42" s="43" t="str">
        <x:v>J4</x:v>
      </x:c>
      <x:c r="F42" s="45" t="n">
        <x:v>2</x:v>
      </x:c>
      <x:c r="G42" s="44" t="str">
        <x:v>Shear</x:v>
      </x:c>
      <x:c r="H42" s="46" t="n">
        <x:v>1.2</x:v>
      </x:c>
      <x:c r="I42" s="46" t="n">
        <x:v>10</x:v>
      </x:c>
      <x:c r="J42" s="46" t="n">
        <x:v>0.018267379679144383</x:v>
      </x:c>
      <x:c r="K42" s="46" t="n">
        <x:v>0.018267379679144383</x:v>
      </x:c>
      <x:c r="L42" s="46" t="n">
        <x:v>0.46694117647058825</x:v>
      </x:c>
      <x:c r="M42" s="46" t="n">
        <x:v>0.18593582887700535</x:v>
      </x:c>
      <x:c r="N42" s="46" t="n">
        <x:v>0.05</x:v>
      </x:c>
      <x:c r="O42" s="48" t="str">
        <x:v>B</x:v>
      </x:c>
      <x:c r="P42" s="46" t="n">
        <x:v>0.302158273381295</x:v>
      </x:c>
      <x:c r="Q42" s="45" t="n">
        <x:v>1</x:v>
      </x:c>
    </x:row>
    <x:row r="43">
      <x:c r="A43" s="45" t="n">
        <x:v>42</x:v>
      </x:c>
      <x:c r="B43" s="45" t="n">
        <x:v>66</x:v>
      </x:c>
      <x:c r="C43" s="45" t="n">
        <x:v>0</x:v>
      </x:c>
      <x:c r="D43" s="43" t="str">
        <x:v>Teng and Chandra (2016)</x:v>
      </x:c>
      <x:c r="E43" s="43" t="str">
        <x:v>J5</x:v>
      </x:c>
      <x:c r="F43" s="45" t="n">
        <x:v>3</x:v>
      </x:c>
      <x:c r="G43" s="44" t="str">
        <x:v>Flex-Shear</x:v>
      </x:c>
      <x:c r="H43" s="46" t="n">
        <x:v>2.2</x:v>
      </x:c>
      <x:c r="I43" s="46" t="n">
        <x:v>10</x:v>
      </x:c>
      <x:c r="J43" s="46" t="n">
        <x:v>0.01653436592449177</x:v>
      </x:c>
      <x:c r="K43" s="46" t="n">
        <x:v>0.01653436592449177</x:v>
      </x:c>
      <x:c r="L43" s="46" t="n">
        <x:v>0.23663117134559536</x:v>
      </x:c>
      <x:c r="M43" s="46" t="n">
        <x:v>0.14939980638915779</x:v>
      </x:c>
      <x:c r="N43" s="46" t="n">
        <x:v>0.05</x:v>
      </x:c>
      <x:c r="O43" s="48" t="str">
        <x:v>F</x:v>
      </x:c>
      <x:c r="P43" s="46" t="n">
        <x:v>0.30612244897959184</x:v>
      </x:c>
      <x:c r="Q43" s="45" t="n">
        <x:v>1</x:v>
      </x:c>
    </x:row>
    <x:row r="44">
      <x:c r="A44" s="45" t="n">
        <x:v>43</x:v>
      </x:c>
      <x:c r="B44" s="45" t="n">
        <x:v>91</x:v>
      </x:c>
      <x:c r="C44" s="45" t="n">
        <x:v>1</x:v>
      </x:c>
      <x:c r="D44" s="43" t="str">
        <x:v>Teng and Chandra (2016)</x:v>
      </x:c>
      <x:c r="E44" s="43" t="str">
        <x:v>J6</x:v>
      </x:c>
      <x:c r="F44" s="45" t="n">
        <x:v>3</x:v>
      </x:c>
      <x:c r="G44" s="44" t="str">
        <x:v>Flex-Shear</x:v>
      </x:c>
      <x:c r="H44" s="46" t="n">
        <x:v>2.2</x:v>
      </x:c>
      <x:c r="I44" s="46" t="n">
        <x:v>10</x:v>
      </x:c>
      <x:c r="J44" s="46" t="n">
        <x:v>0.04478305785123967</x:v>
      </x:c>
      <x:c r="K44" s="46" t="n">
        <x:v>0.017644628099173554</x:v>
      </x:c>
      <x:c r="L44" s="46" t="n">
        <x:v>0.2525206611570248</x:v>
      </x:c>
      <x:c r="M44" s="46" t="n">
        <x:v>0.15943181818181817</x:v>
      </x:c>
      <x:c r="N44" s="46" t="n">
        <x:v>0.05</x:v>
      </x:c>
      <x:c r="O44" s="48" t="str">
        <x:v>F</x:v>
      </x:c>
      <x:c r="P44" s="46" t="n">
        <x:v>0.30612244897959184</x:v>
      </x:c>
      <x:c r="Q44" s="45" t="n">
        <x:v>1</x:v>
      </x:c>
    </x:row>
    <x:row r="45">
      <x:c r="A45" s="45" t="n">
        <x:v>44</x:v>
      </x:c>
      <x:c r="B45" s="45" t="n">
        <x:v>67</x:v>
      </x:c>
      <x:c r="C45" s="45" t="n">
        <x:v>0</x:v>
      </x:c>
      <x:c r="D45" s="43" t="str">
        <x:v>Teng and Chandra (2016)</x:v>
      </x:c>
      <x:c r="E45" s="43" t="str">
        <x:v>J7</x:v>
      </x:c>
      <x:c r="F45" s="45" t="n">
        <x:v>3</x:v>
      </x:c>
      <x:c r="G45" s="44" t="str">
        <x:v>Flex-Shear</x:v>
      </x:c>
      <x:c r="H45" s="46" t="n">
        <x:v>2.2</x:v>
      </x:c>
      <x:c r="I45" s="46" t="n">
        <x:v>10</x:v>
      </x:c>
      <x:c r="J45" s="46" t="n">
        <x:v>0.015429087624209574</x:v>
      </x:c>
      <x:c r="K45" s="46" t="n">
        <x:v>0.03915989159891599</x:v>
      </x:c>
      <x:c r="L45" s="46" t="n">
        <x:v>0.22081300813008128</x:v>
      </x:c>
      <x:c r="M45" s="46" t="n">
        <x:v>0.13209936766034328</x:v>
      </x:c>
      <x:c r="N45" s="46" t="n">
        <x:v>0.05</x:v>
      </x:c>
      <x:c r="O45" s="48" t="str">
        <x:v>F</x:v>
      </x:c>
      <x:c r="P45" s="46" t="n">
        <x:v>0.30612244897959184</x:v>
      </x:c>
      <x:c r="Q45" s="45" t="n">
        <x:v>1</x:v>
      </x:c>
    </x:row>
    <x:row r="46">
      <x:c r="A46" s="45" t="n">
        <x:v>45</x:v>
      </x:c>
      <x:c r="B46" s="45" t="n">
        <x:v>68</x:v>
      </x:c>
      <x:c r="C46" s="45" t="n">
        <x:v>0</x:v>
      </x:c>
      <x:c r="D46" s="43" t="str">
        <x:v>Oesterle et al. (1976)</x:v>
      </x:c>
      <x:c r="E46" s="43" t="str">
        <x:v>R1</x:v>
      </x:c>
      <x:c r="F46" s="45" t="n">
        <x:v>1</x:v>
      </x:c>
      <x:c r="G46" s="44" t="str">
        <x:v>Flexural</x:v>
      </x:c>
      <x:c r="H46" s="46" t="n">
        <x:v>2.4</x:v>
      </x:c>
      <x:c r="I46" s="46" t="n">
        <x:v>18.75</x:v>
      </x:c>
      <x:c r="J46" s="46" t="n">
        <x:v>0.02917225950782998</x:v>
      </x:c>
      <x:c r="K46" s="46" t="n">
        <x:v>0.036173601789709166</x:v>
      </x:c>
      <x:c r="L46" s="46" t="n">
        <x:v>0.16811275167785233</x:v>
      </x:c>
      <x:c r="M46" s="46" t="n">
        <x:v>0.0017756710769114184</x:v>
      </x:c>
      <x:c r="N46" s="46" t="n">
        <x:v>0</x:v>
      </x:c>
      <x:c r="O46" s="48" t="str">
        <x:v>R</x:v>
      </x:c>
      <x:c r="P46" s="46" t="n">
        <x:v>0</x:v>
      </x:c>
      <x:c r="Q46" s="45" t="n">
        <x:v>1</x:v>
      </x:c>
    </x:row>
    <x:row r="47">
      <x:c r="A47" s="45" t="n">
        <x:v>46</x:v>
      </x:c>
      <x:c r="B47" s="45" t="n">
        <x:v>69</x:v>
      </x:c>
      <x:c r="C47" s="45" t="n">
        <x:v>0</x:v>
      </x:c>
      <x:c r="D47" s="43" t="str">
        <x:v>Oesterle et al. (1976)</x:v>
      </x:c>
      <x:c r="E47" s="43" t="str">
        <x:v>R2</x:v>
      </x:c>
      <x:c r="F47" s="45" t="n">
        <x:v>1</x:v>
      </x:c>
      <x:c r="G47" s="44" t="str">
        <x:v>Flexural</x:v>
      </x:c>
      <x:c r="H47" s="46" t="n">
        <x:v>2.4</x:v>
      </x:c>
      <x:c r="I47" s="46" t="n">
        <x:v>18.75</x:v>
      </x:c>
      <x:c r="J47" s="46" t="n">
        <x:v>0.028809267241379312</x:v>
      </x:c>
      <x:c r="K47" s="46" t="n">
        <x:v>0.03572349137931034</x:v>
      </x:c>
      <x:c r="L47" s="46" t="n">
        <x:v>0.38724137931034486</x:v>
      </x:c>
      <x:c r="M47" s="46" t="n">
        <x:v>0.23854073275862073</x:v>
      </x:c>
      <x:c r="N47" s="46" t="n">
        <x:v>0</x:v>
      </x:c>
      <x:c r="O47" s="48" t="str">
        <x:v>R</x:v>
      </x:c>
      <x:c r="P47" s="46" t="n">
        <x:v>0</x:v>
      </x:c>
      <x:c r="Q47" s="45" t="n">
        <x:v>1</x:v>
      </x:c>
    </x:row>
    <x:row r="48">
      <x:c r="A48" s="45" t="n">
        <x:v>47</x:v>
      </x:c>
      <x:c r="B48" s="45" t="n">
        <x:v>70</x:v>
      </x:c>
      <x:c r="C48" s="45" t="n">
        <x:v>0</x:v>
      </x:c>
      <x:c r="D48" s="43" t="str">
        <x:v>Oesterle et al. (1976)</x:v>
      </x:c>
      <x:c r="E48" s="43" t="str">
        <x:v>B1</x:v>
      </x:c>
      <x:c r="F48" s="45" t="n">
        <x:v>1</x:v>
      </x:c>
      <x:c r="G48" s="44" t="str">
        <x:v>Flexural</x:v>
      </x:c>
      <x:c r="H48" s="46" t="n">
        <x:v>2.4</x:v>
      </x:c>
      <x:c r="I48" s="46" t="n">
        <x:v>18.75</x:v>
      </x:c>
      <x:c r="J48" s="46" t="n">
        <x:v>0.02846377358490566</x:v>
      </x:c>
      <x:c r="K48" s="46" t="n">
        <x:v>0.03042679245283019</x:v>
      </x:c>
      <x:c r="L48" s="46" t="n">
        <x:v>0.0940777358490566</x:v>
      </x:c>
      <x:c r="M48" s="46" t="n">
        <x:v>0.00273822022660514</x:v>
      </x:c>
      <x:c r="N48" s="46" t="n">
        <x:v>0</x:v>
      </x:c>
      <x:c r="O48" s="48" t="str">
        <x:v>B</x:v>
      </x:c>
      <x:c r="P48" s="46" t="n">
        <x:v>0.29240271578550325</x:v>
      </x:c>
      <x:c r="Q48" s="45" t="n">
        <x:v>1</x:v>
      </x:c>
    </x:row>
    <x:row r="49">
      <x:c r="A49" s="45" t="n">
        <x:v>48</x:v>
      </x:c>
      <x:c r="B49" s="45" t="n">
        <x:v>71</x:v>
      </x:c>
      <x:c r="C49" s="45" t="n">
        <x:v>0</x:v>
      </x:c>
      <x:c r="D49" s="43" t="str">
        <x:v>Oesterle et al. (1976)</x:v>
      </x:c>
      <x:c r="E49" s="43" t="str">
        <x:v>B3</x:v>
      </x:c>
      <x:c r="F49" s="45" t="n">
        <x:v>1</x:v>
      </x:c>
      <x:c r="G49" s="44" t="str">
        <x:v>Flexural</x:v>
      </x:c>
      <x:c r="H49" s="46" t="n">
        <x:v>2.4</x:v>
      </x:c>
      <x:c r="I49" s="46" t="n">
        <x:v>18.75</x:v>
      </x:c>
      <x:c r="J49" s="46" t="n">
        <x:v>0.02933720930232558</x:v>
      </x:c>
      <x:c r="K49" s="46" t="n">
        <x:v>0.031360465116279074</x:v>
      </x:c>
      <x:c r="L49" s="46" t="n">
        <x:v>0.10266913319238902</x:v>
      </x:c>
      <x:c r="M49" s="46" t="n">
        <x:v>0.12948837209302327</x:v>
      </x:c>
      <x:c r="N49" s="46" t="n">
        <x:v>0</x:v>
      </x:c>
      <x:c r="O49" s="48" t="str">
        <x:v>B</x:v>
      </x:c>
      <x:c r="P49" s="46" t="n">
        <x:v>0.29240271578550325</x:v>
      </x:c>
      <x:c r="Q49" s="45" t="n">
        <x:v>1</x:v>
      </x:c>
    </x:row>
    <x:row r="50">
      <x:c r="A50" s="45" t="n">
        <x:v>49</x:v>
      </x:c>
      <x:c r="B50" s="45" t="n">
        <x:v>72</x:v>
      </x:c>
      <x:c r="C50" s="45" t="n">
        <x:v>0</x:v>
      </x:c>
      <x:c r="D50" s="43" t="str">
        <x:v>Oesterle et al. (1976)</x:v>
      </x:c>
      <x:c r="E50" s="43" t="str">
        <x:v>B4</x:v>
      </x:c>
      <x:c r="F50" s="45" t="n">
        <x:v>1</x:v>
      </x:c>
      <x:c r="G50" s="44" t="str">
        <x:v>Flexural</x:v>
      </x:c>
      <x:c r="H50" s="46" t="n">
        <x:v>2.4</x:v>
      </x:c>
      <x:c r="I50" s="46" t="n">
        <x:v>18.75</x:v>
      </x:c>
      <x:c r="J50" s="46" t="n">
        <x:v>0.03249933333333333</x:v>
      </x:c>
      <x:c r="K50" s="46" t="n">
        <x:v>0.03474066666666666</x:v>
      </x:c>
      <x:c r="L50" s="46" t="n">
        <x:v>0.11097533333333334</x:v>
      </x:c>
      <x:c r="M50" s="46" t="n">
        <x:v>0.14344533333333334</x:v>
      </x:c>
      <x:c r="N50" s="46" t="n">
        <x:v>0</x:v>
      </x:c>
      <x:c r="O50" s="48" t="str">
        <x:v>B</x:v>
      </x:c>
      <x:c r="P50" s="46" t="n">
        <x:v>0.29240271578550325</x:v>
      </x:c>
      <x:c r="Q50" s="45" t="n">
        <x:v>1</x:v>
      </x:c>
    </x:row>
    <x:row r="51">
      <x:c r="A51" s="45" t="n">
        <x:v>50</x:v>
      </x:c>
      <x:c r="B51" s="45" t="n">
        <x:v>73</x:v>
      </x:c>
      <x:c r="C51" s="45" t="n">
        <x:v>0</x:v>
      </x:c>
      <x:c r="D51" s="43" t="str">
        <x:v>Oesterle et al. (1976)</x:v>
      </x:c>
      <x:c r="E51" s="43" t="str">
        <x:v>B2</x:v>
      </x:c>
      <x:c r="F51" s="45" t="n">
        <x:v>2</x:v>
      </x:c>
      <x:c r="G51" s="44" t="str">
        <x:v>Shear</x:v>
      </x:c>
      <x:c r="H51" s="46" t="n">
        <x:v>2.4</x:v>
      </x:c>
      <x:c r="I51" s="46" t="n">
        <x:v>18.75</x:v>
      </x:c>
      <x:c r="J51" s="46" t="n">
        <x:v>0.028778171641791042</x:v>
      </x:c>
      <x:c r="K51" s="46" t="n">
        <x:v>0.06251809701492536</x:v>
      </x:c>
      <x:c r="L51" s="46" t="n">
        <x:v>0.2807276119402985</x:v>
      </x:c>
      <x:c r="M51" s="46" t="n">
        <x:v>0.0030201440478543704</x:v>
      </x:c>
      <x:c r="N51" s="46" t="n">
        <x:v>0</x:v>
      </x:c>
      <x:c r="O51" s="48" t="str">
        <x:v>B</x:v>
      </x:c>
      <x:c r="P51" s="46" t="n">
        <x:v>0.29240271578550325</x:v>
      </x:c>
      <x:c r="Q51" s="45" t="n">
        <x:v>1</x:v>
      </x:c>
    </x:row>
    <x:row r="52">
      <x:c r="A52" s="45" t="n">
        <x:v>51</x:v>
      </x:c>
      <x:c r="B52" s="45" t="n">
        <x:v>74</x:v>
      </x:c>
      <x:c r="C52" s="45" t="n">
        <x:v>0</x:v>
      </x:c>
      <x:c r="D52" s="43" t="str">
        <x:v>Oesterle et al. (1976)</x:v>
      </x:c>
      <x:c r="E52" s="43" t="str">
        <x:v>B5</x:v>
      </x:c>
      <x:c r="F52" s="45" t="n">
        <x:v>2</x:v>
      </x:c>
      <x:c r="G52" s="44" t="str">
        <x:v>Shear</x:v>
      </x:c>
      <x:c r="H52" s="46" t="n">
        <x:v>2.4</x:v>
      </x:c>
      <x:c r="I52" s="46" t="n">
        <x:v>18.75</x:v>
      </x:c>
      <x:c r="J52" s="46" t="n">
        <x:v>0.0321112582781457</x:v>
      </x:c>
      <x:c r="K52" s="46" t="n">
        <x:v>0.069758940397351</x:v>
      </x:c>
      <x:c r="L52" s="46" t="n">
        <x:v>0.3594655629139073</x:v>
      </x:c>
      <x:c r="M52" s="46" t="n">
        <x:v>0.14948344370860928</x:v>
      </x:c>
      <x:c r="N52" s="46" t="n">
        <x:v>0</x:v>
      </x:c>
      <x:c r="O52" s="48" t="str">
        <x:v>B</x:v>
      </x:c>
      <x:c r="P52" s="46" t="n">
        <x:v>0.29240271578550325</x:v>
      </x:c>
      <x:c r="Q52" s="45" t="n">
        <x:v>1</x:v>
      </x:c>
    </x:row>
    <x:row r="53">
      <x:c r="A53" s="45" t="n">
        <x:v>52</x:v>
      </x:c>
      <x:c r="B53" s="45" t="n">
        <x:v>76</x:v>
      </x:c>
      <x:c r="C53" s="45" t="n">
        <x:v>0</x:v>
      </x:c>
      <x:c r="D53" s="43" t="str">
        <x:v>Oesterle et al. (1976)</x:v>
      </x:c>
      <x:c r="E53" s="43" t="str">
        <x:v>F1</x:v>
      </x:c>
      <x:c r="F53" s="45" t="n">
        <x:v>2</x:v>
      </x:c>
      <x:c r="G53" s="44" t="str">
        <x:v>Shear</x:v>
      </x:c>
      <x:c r="H53" s="46" t="n">
        <x:v>2.4</x:v>
      </x:c>
      <x:c r="I53" s="46" t="n">
        <x:v>18.75</x:v>
      </x:c>
      <x:c r="J53" s="46" t="n">
        <x:v>0.041015625</x:v>
      </x:c>
      <x:c r="K53" s="46" t="n">
        <x:v>0.0970703125</x:v>
      </x:c>
      <x:c r="L53" s="46" t="n">
        <x:v>0.45018645833333326</x:v>
      </x:c>
      <x:c r="M53" s="46" t="n">
        <x:v>0.19550781250000002</x:v>
      </x:c>
      <x:c r="N53" s="46" t="n">
        <x:v>0</x:v>
      </x:c>
      <x:c r="O53" s="48" t="str">
        <x:v>F</x:v>
      </x:c>
      <x:c r="P53" s="46" t="n">
        <x:v>0.25892351274787534</x:v>
      </x:c>
      <x:c r="Q53" s="45" t="n">
        <x:v>1</x:v>
      </x:c>
    </x:row>
    <x:row r="54">
      <x:c r="A54" s="45" t="n">
        <x:v>53</x:v>
      </x:c>
      <x:c r="B54" s="45" t="n">
        <x:v>77</x:v>
      </x:c>
      <x:c r="C54" s="45" t="n">
        <x:v>0</x:v>
      </x:c>
      <x:c r="D54" s="43" t="str">
        <x:v>Oesterle et al. (1979)</x:v>
      </x:c>
      <x:c r="E54" s="43" t="str">
        <x:v>B6</x:v>
      </x:c>
      <x:c r="F54" s="45" t="n">
        <x:v>2</x:v>
      </x:c>
      <x:c r="G54" s="44" t="str">
        <x:v>Shear</x:v>
      </x:c>
      <x:c r="H54" s="46" t="n">
        <x:v>2.4</x:v>
      </x:c>
      <x:c r="I54" s="46" t="n">
        <x:v>18.75</x:v>
      </x:c>
      <x:c r="J54" s="46" t="n">
        <x:v>0.06800366972477064</x:v>
      </x:c>
      <x:c r="K54" s="46" t="n">
        <x:v>0.1477321100917431</x:v>
      </x:c>
      <x:c r="L54" s="46" t="n">
        <x:v>0.7412389908256881</x:v>
      </x:c>
      <x:c r="M54" s="46" t="n">
        <x:v>0.18994128440366972</x:v>
      </x:c>
      <x:c r="N54" s="46" t="n">
        <x:v>0.1344160409444114</x:v>
      </x:c>
      <x:c r="O54" s="48" t="str">
        <x:v>B</x:v>
      </x:c>
      <x:c r="P54" s="46" t="n">
        <x:v>0.29240271578550325</x:v>
      </x:c>
      <x:c r="Q54" s="45" t="n">
        <x:v>1</x:v>
      </x:c>
    </x:row>
    <x:row r="55">
      <x:c r="A55" s="45" t="n">
        <x:v>54</x:v>
      </x:c>
      <x:c r="B55" s="45" t="n">
        <x:v>78</x:v>
      </x:c>
      <x:c r="C55" s="45" t="n">
        <x:v>0</x:v>
      </x:c>
      <x:c r="D55" s="43" t="str">
        <x:v>Oesterle et al. (1979)</x:v>
      </x:c>
      <x:c r="E55" s="43" t="str">
        <x:v>B7</x:v>
      </x:c>
      <x:c r="F55" s="45" t="n">
        <x:v>2</x:v>
      </x:c>
      <x:c r="G55" s="44" t="str">
        <x:v>Shear</x:v>
      </x:c>
      <x:c r="H55" s="46" t="n">
        <x:v>2.4</x:v>
      </x:c>
      <x:c r="I55" s="46" t="n">
        <x:v>18.75</x:v>
      </x:c>
      <x:c r="J55" s="46" t="n">
        <x:v>0.028776470588235296</x:v>
      </x:c>
      <x:c r="K55" s="46" t="n">
        <x:v>0.06251440162271805</x:v>
      </x:c>
      <x:c r="L55" s="46" t="n">
        <x:v>0.34057302231237324</x:v>
      </x:c>
      <x:c r="M55" s="46" t="n">
        <x:v>0.13395943204868155</x:v>
      </x:c>
      <x:c r="N55" s="46" t="n">
        <x:v>0.07621990446243639</x:v>
      </x:c>
      <x:c r="O55" s="48" t="str">
        <x:v>B</x:v>
      </x:c>
      <x:c r="P55" s="46" t="n">
        <x:v>0.29240271578550325</x:v>
      </x:c>
      <x:c r="Q55" s="45" t="n">
        <x:v>1</x:v>
      </x:c>
    </x:row>
    <x:row r="56">
      <x:c r="A56" s="45" t="n">
        <x:v>55</x:v>
      </x:c>
      <x:c r="B56" s="45" t="n">
        <x:v>79</x:v>
      </x:c>
      <x:c r="C56" s="45" t="n">
        <x:v>0</x:v>
      </x:c>
      <x:c r="D56" s="43" t="str">
        <x:v>Oesterle et al. (1979)</x:v>
      </x:c>
      <x:c r="E56" s="43" t="str">
        <x:v>B8</x:v>
      </x:c>
      <x:c r="F56" s="45" t="n">
        <x:v>2</x:v>
      </x:c>
      <x:c r="G56" s="44" t="str">
        <x:v>Shear</x:v>
      </x:c>
      <x:c r="H56" s="46" t="n">
        <x:v>2.4</x:v>
      </x:c>
      <x:c r="I56" s="46" t="n">
        <x:v>18.75</x:v>
      </x:c>
      <x:c r="J56" s="46" t="n">
        <x:v>0.031306190476190474</x:v>
      </x:c>
      <x:c r="K56" s="46" t="n">
        <x:v>0.15824000000000002</x:v>
      </x:c>
      <x:c r="L56" s="46" t="n">
        <x:v>0.3907676190476191</x:v>
      </x:c>
      <x:c r="M56" s="46" t="n">
        <x:v>0.1548</x:v>
      </x:c>
      <x:c r="N56" s="46" t="n">
        <x:v>0.08946764976185986</x:v>
      </x:c>
      <x:c r="O56" s="48" t="str">
        <x:v>B</x:v>
      </x:c>
      <x:c r="P56" s="46" t="n">
        <x:v>0.29240271578550325</x:v>
      </x:c>
      <x:c r="Q56" s="45" t="n">
        <x:v>1</x:v>
      </x:c>
    </x:row>
    <x:row r="57">
      <x:c r="A57" s="45" t="n">
        <x:v>56</x:v>
      </x:c>
      <x:c r="B57" s="45" t="n">
        <x:v>80</x:v>
      </x:c>
      <x:c r="C57" s="45" t="n">
        <x:v>0</x:v>
      </x:c>
      <x:c r="D57" s="43" t="str">
        <x:v>Oesterle et al. (1979)</x:v>
      </x:c>
      <x:c r="E57" s="43" t="str">
        <x:v>B9</x:v>
      </x:c>
      <x:c r="F57" s="45" t="n">
        <x:v>2</x:v>
      </x:c>
      <x:c r="G57" s="44" t="str">
        <x:v>Shear</x:v>
      </x:c>
      <x:c r="H57" s="46" t="n">
        <x:v>2.4</x:v>
      </x:c>
      <x:c r="I57" s="46" t="n">
        <x:v>18.75</x:v>
      </x:c>
      <x:c r="J57" s="46" t="n">
        <x:v>0.030308616780045348</x:v>
      </x:c>
      <x:c r="K57" s="46" t="n">
        <x:v>0.06584285714285713</x:v>
      </x:c>
      <x:c r="L57" s="46" t="n">
        <x:v>0.35718004535147396</x:v>
      </x:c>
      <x:c r="M57" s="46" t="n">
        <x:v>0.14109183673469386</x:v>
      </x:c>
      <x:c r="N57" s="46" t="n">
        <x:v>0.08520728548748557</x:v>
      </x:c>
      <x:c r="O57" s="48" t="str">
        <x:v>B</x:v>
      </x:c>
      <x:c r="P57" s="46" t="n">
        <x:v>0.29240271578550325</x:v>
      </x:c>
      <x:c r="Q57" s="45" t="n">
        <x:v>1</x:v>
      </x:c>
    </x:row>
    <x:row r="58">
      <x:c r="A58" s="45" t="n">
        <x:v>57</x:v>
      </x:c>
      <x:c r="B58" s="45" t="n">
        <x:v>82</x:v>
      </x:c>
      <x:c r="C58" s="45" t="n">
        <x:v>0</x:v>
      </x:c>
      <x:c r="D58" s="43" t="str">
        <x:v>Oesterle et al. (1979)</x:v>
      </x:c>
      <x:c r="E58" s="43" t="str">
        <x:v>B10</x:v>
      </x:c>
      <x:c r="F58" s="45" t="n">
        <x:v>1</x:v>
      </x:c>
      <x:c r="G58" s="44" t="str">
        <x:v>Flexural</x:v>
      </x:c>
      <x:c r="H58" s="46" t="n">
        <x:v>2.4</x:v>
      </x:c>
      <x:c r="I58" s="46" t="n">
        <x:v>18.75</x:v>
      </x:c>
      <x:c r="J58" s="46" t="n">
        <x:v>0.030189254385964908</x:v>
      </x:c>
      <x:c r="K58" s="46" t="n">
        <x:v>0.06558355263157895</x:v>
      </x:c>
      <x:c r="L58" s="46" t="n">
        <x:v>0.19319824561403506</x:v>
      </x:c>
      <x:c r="M58" s="46" t="n">
        <x:v>0.14053618421052633</x:v>
      </x:c>
      <x:c r="N58" s="46" t="n">
        <x:v>0.0824044142543446</x:v>
      </x:c>
      <x:c r="O58" s="48" t="str">
        <x:v>B</x:v>
      </x:c>
      <x:c r="P58" s="46" t="n">
        <x:v>0.29240271578550325</x:v>
      </x:c>
      <x:c r="Q58" s="45" t="n">
        <x:v>1</x:v>
      </x:c>
    </x:row>
    <x:row r="59">
      <x:c r="A59" s="45" t="n">
        <x:v>58</x:v>
      </x:c>
      <x:c r="B59" s="45" t="n">
        <x:v>83</x:v>
      </x:c>
      <x:c r="C59" s="45" t="n">
        <x:v>0</x:v>
      </x:c>
      <x:c r="D59" s="43" t="str">
        <x:v>Oesterle et al. (1979)</x:v>
      </x:c>
      <x:c r="E59" s="43" t="str">
        <x:v>F2</x:v>
      </x:c>
      <x:c r="F59" s="45" t="n">
        <x:v>2</x:v>
      </x:c>
      <x:c r="G59" s="44" t="str">
        <x:v>Shear</x:v>
      </x:c>
      <x:c r="H59" s="46" t="n">
        <x:v>2.4</x:v>
      </x:c>
      <x:c r="I59" s="46" t="n">
        <x:v>18.75</x:v>
      </x:c>
      <x:c r="J59" s="46" t="n">
        <x:v>0.02922565789473684</x:v>
      </x:c>
      <x:c r="K59" s="46" t="n">
        <x:v>0.06406381578947368</x:v>
      </x:c>
      <x:c r="L59" s="46" t="n">
        <x:v>0.44234539473684203</x:v>
      </x:c>
      <x:c r="M59" s="46" t="n">
        <x:v>0.14541469298245613</x:v>
      </x:c>
      <x:c r="N59" s="46" t="n">
        <x:v>0.07257635423335876</x:v>
      </x:c>
      <x:c r="O59" s="48" t="str">
        <x:v>F</x:v>
      </x:c>
      <x:c r="P59" s="46" t="n">
        <x:v>0.25892351274787534</x:v>
      </x:c>
      <x:c r="Q59" s="45" t="n">
        <x:v>1</x:v>
      </x:c>
    </x:row>
    <x:row r="60">
      <x:c r="A60" s="45" t="n">
        <x:v>59</x:v>
      </x:c>
      <x:c r="B60" s="45" t="n">
        <x:v>84</x:v>
      </x:c>
      <x:c r="C60" s="45" t="n">
        <x:v>0</x:v>
      </x:c>
      <x:c r="D60" s="43" t="str">
        <x:v>Cheng et al. (2016)</x:v>
      </x:c>
      <x:c r="E60" s="43" t="str">
        <x:v>M60</x:v>
      </x:c>
      <x:c r="F60" s="45" t="n">
        <x:v>4</x:v>
      </x:c>
      <x:c r="G60" s="44" t="str">
        <x:v>Sliding</x:v>
      </x:c>
      <x:c r="H60" s="46" t="n">
        <x:v>1</x:v>
      </x:c>
      <x:c r="I60" s="46" t="n">
        <x:v>10</x:v>
      </x:c>
      <x:c r="J60" s="46" t="n">
        <x:v>0.0360076923076923</x:v>
      </x:c>
      <x:c r="K60" s="46" t="n">
        <x:v>0.0360076923076923</x:v>
      </x:c>
      <x:c r="L60" s="46" t="n">
        <x:v>0.3646153846153846</x:v>
      </x:c>
      <x:c r="M60" s="46" t="n">
        <x:v>0.3287153846153846</x:v>
      </x:c>
      <x:c r="N60" s="46" t="n">
        <x:v>0</x:v>
      </x:c>
      <x:c r="O60" s="48" t="str">
        <x:v>R</x:v>
      </x:c>
      <x:c r="P60" s="46" t="n">
        <x:v>0</x:v>
      </x:c>
      <x:c r="Q60" s="45" t="n">
        <x:v>1</x:v>
      </x:c>
    </x:row>
    <x:row r="61">
      <x:c r="A61" s="45" t="n">
        <x:v>60</x:v>
      </x:c>
      <x:c r="B61" s="45" t="n">
        <x:v>85</x:v>
      </x:c>
      <x:c r="C61" s="45" t="n">
        <x:v>0</x:v>
      </x:c>
      <x:c r="D61" s="43" t="str">
        <x:v>Cheng et al. (2016)</x:v>
      </x:c>
      <x:c r="E61" s="43" t="str">
        <x:v>M115</x:v>
      </x:c>
      <x:c r="F61" s="45" t="n">
        <x:v>4</x:v>
      </x:c>
      <x:c r="G61" s="44" t="str">
        <x:v>Sliding</x:v>
      </x:c>
      <x:c r="H61" s="46" t="n">
        <x:v>1</x:v>
      </x:c>
      <x:c r="I61" s="46" t="n">
        <x:v>10</x:v>
      </x:c>
      <x:c r="J61" s="46" t="n">
        <x:v>0.031026315789473687</x:v>
      </x:c>
      <x:c r="K61" s="46" t="n">
        <x:v>0.031026315789473687</x:v>
      </x:c>
      <x:c r="L61" s="46" t="n">
        <x:v>0.3586578947368421</x:v>
      </x:c>
      <x:c r="M61" s="46" t="n">
        <x:v>0.5853631578947368</x:v>
      </x:c>
      <x:c r="N61" s="46" t="n">
        <x:v>0</x:v>
      </x:c>
      <x:c r="O61" s="48" t="str">
        <x:v>R</x:v>
      </x:c>
      <x:c r="P61" s="46" t="n">
        <x:v>0</x:v>
      </x:c>
      <x:c r="Q61" s="45" t="n">
        <x:v>1</x:v>
      </x:c>
    </x:row>
    <x:row r="62">
      <x:c r="A62" s="45" t="n">
        <x:v>61</x:v>
      </x:c>
      <x:c r="B62" s="45" t="n">
        <x:v>86</x:v>
      </x:c>
      <x:c r="C62" s="45" t="n">
        <x:v>1</x:v>
      </x:c>
      <x:c r="D62" s="43" t="str">
        <x:v>Cheng et al. (2016)</x:v>
      </x:c>
      <x:c r="E62" s="43" t="str">
        <x:v>H60</x:v>
      </x:c>
      <x:c r="F62" s="45" t="n">
        <x:v>4</x:v>
      </x:c>
      <x:c r="G62" s="44" t="str">
        <x:v>Sliding</x:v>
      </x:c>
      <x:c r="H62" s="46" t="n">
        <x:v>1</x:v>
      </x:c>
      <x:c r="I62" s="46" t="n">
        <x:v>10</x:v>
      </x:c>
      <x:c r="J62" s="46" t="n">
        <x:v>0.08852272727272728</x:v>
      </x:c>
      <x:c r="K62" s="46" t="n">
        <x:v>0.08852272727272728</x:v>
      </x:c>
      <x:c r="L62" s="46" t="n">
        <x:v>0.5318181818181817</x:v>
      </x:c>
      <x:c r="M62" s="46" t="n">
        <x:v>0.3055113636363636</x:v>
      </x:c>
      <x:c r="N62" s="46" t="n">
        <x:v>0</x:v>
      </x:c>
      <x:c r="O62" s="48" t="str">
        <x:v>R</x:v>
      </x:c>
      <x:c r="P62" s="46" t="n">
        <x:v>0</x:v>
      </x:c>
      <x:c r="Q62" s="45" t="n">
        <x:v>1</x:v>
      </x:c>
    </x:row>
    <x:row r="63">
      <x:c r="A63" s="45" t="n">
        <x:v>62</x:v>
      </x:c>
      <x:c r="B63" s="45" t="n">
        <x:v>87</x:v>
      </x:c>
      <x:c r="C63" s="45" t="n">
        <x:v>1</x:v>
      </x:c>
      <x:c r="D63" s="43" t="str">
        <x:v>Cheng et al. (2016)</x:v>
      </x:c>
      <x:c r="E63" s="43" t="str">
        <x:v>H115</x:v>
      </x:c>
      <x:c r="F63" s="45" t="n">
        <x:v>4</x:v>
      </x:c>
      <x:c r="G63" s="44" t="str">
        <x:v>Sliding</x:v>
      </x:c>
      <x:c r="H63" s="46" t="n">
        <x:v>1</x:v>
      </x:c>
      <x:c r="I63" s="46" t="n">
        <x:v>10</x:v>
      </x:c>
      <x:c r="J63" s="46" t="n">
        <x:v>0.07510454545454547</x:v>
      </x:c>
      <x:c r="K63" s="46" t="n">
        <x:v>0.07510454545454547</x:v>
      </x:c>
      <x:c r="L63" s="46" t="n">
        <x:v>0.46375000000000005</x:v>
      </x:c>
      <x:c r="M63" s="46" t="n">
        <x:v>0.5184045454545454</x:v>
      </x:c>
      <x:c r="N63" s="46" t="n">
        <x:v>0</x:v>
      </x:c>
      <x:c r="O63" s="48" t="str">
        <x:v>R</x:v>
      </x:c>
      <x:c r="P63" s="46" t="n">
        <x:v>0</x:v>
      </x:c>
      <x:c r="Q63" s="45" t="n">
        <x:v>1</x:v>
      </x:c>
    </x:row>
    <x:row r="64">
      <x:c r="A64" s="45" t="n">
        <x:v>63</x:v>
      </x:c>
      <x:c r="B64" s="45" t="n">
        <x:v>88</x:v>
      </x:c>
      <x:c r="C64" s="45" t="n">
        <x:v>0</x:v>
      </x:c>
      <x:c r="D64" s="43" t="str">
        <x:v>Cheng et al. (2016)</x:v>
      </x:c>
      <x:c r="E64" s="43" t="str">
        <x:v>H60X</x:v>
      </x:c>
      <x:c r="F64" s="45" t="n">
        <x:v>4</x:v>
      </x:c>
      <x:c r="G64" s="44" t="str">
        <x:v>Sliding</x:v>
      </x:c>
      <x:c r="H64" s="46" t="n">
        <x:v>1</x:v>
      </x:c>
      <x:c r="I64" s="46" t="n">
        <x:v>10</x:v>
      </x:c>
      <x:c r="J64" s="46" t="n">
        <x:v>0.09273809523809524</x:v>
      </x:c>
      <x:c r="K64" s="46" t="n">
        <x:v>0.09273809523809524</x:v>
      </x:c>
      <x:c r="L64" s="46" t="n">
        <x:v>0.5571428571428572</x:v>
      </x:c>
      <x:c r="M64" s="46" t="n">
        <x:v>0.1594642857142857</x:v>
      </x:c>
      <x:c r="N64" s="46" t="n">
        <x:v>0</x:v>
      </x:c>
      <x:c r="O64" s="48" t="str">
        <x:v>R</x:v>
      </x:c>
      <x:c r="P64" s="46" t="n">
        <x:v>0</x:v>
      </x:c>
      <x:c r="Q64" s="45" t="n">
        <x:v>1</x:v>
      </x:c>
    </x:row>
    <x:row r="65">
      <x:c r="A65" s="45" t="n">
        <x:v>64</x:v>
      </x:c>
      <x:c r="B65" s="45" t="n">
        <x:v>89</x:v>
      </x:c>
      <x:c r="C65" s="45" t="n">
        <x:v>0</x:v>
      </x:c>
      <x:c r="D65" s="43" t="str">
        <x:v>Alarcon et al. (2014)</x:v>
      </x:c>
      <x:c r="E65" s="43" t="str">
        <x:v>W1</x:v>
      </x:c>
      <x:c r="F65" s="45" t="n">
        <x:v>1</x:v>
      </x:c>
      <x:c r="G65" s="44" t="str">
        <x:v>Flexural</x:v>
      </x:c>
      <x:c r="H65" s="46" t="n">
        <x:v>2.5</x:v>
      </x:c>
      <x:c r="I65" s="46" t="n">
        <x:v>7</x:v>
      </x:c>
      <x:c r="J65" s="46" t="n">
        <x:v>0.11709197080291972</x:v>
      </x:c>
      <x:c r="K65" s="46" t="n">
        <x:v>0.09777956204379562</x:v>
      </x:c>
      <x:c r="L65" s="46" t="n">
        <x:v>0.07705839416058394</x:v>
      </x:c>
      <x:c r="M65" s="46" t="n">
        <x:v>0</x:v>
      </x:c>
      <x:c r="N65" s="46" t="n">
        <x:v>0.14984358706986445</x:v>
      </x:c>
      <x:c r="O65" s="48" t="str">
        <x:v>R</x:v>
      </x:c>
      <x:c r="P65" s="46" t="n">
        <x:v>0</x:v>
      </x:c>
      <x:c r="Q65" s="45" t="n">
        <x:v>1</x:v>
      </x:c>
    </x:row>
    <x:row r="66">
      <x:c r="A66" s="45" t="n">
        <x:v>65</x:v>
      </x:c>
      <x:c r="B66" s="45" t="n">
        <x:v>90</x:v>
      </x:c>
      <x:c r="C66" s="45" t="n">
        <x:v>0</x:v>
      </x:c>
      <x:c r="D66" s="43" t="str">
        <x:v>Alarcon et al. (2014)</x:v>
      </x:c>
      <x:c r="E66" s="43" t="str">
        <x:v>W2</x:v>
      </x:c>
      <x:c r="F66" s="45" t="n">
        <x:v>1</x:v>
      </x:c>
      <x:c r="G66" s="44" t="str">
        <x:v>Flexural</x:v>
      </x:c>
      <x:c r="H66" s="46" t="n">
        <x:v>2.5</x:v>
      </x:c>
      <x:c r="I66" s="46" t="n">
        <x:v>7</x:v>
      </x:c>
      <x:c r="J66" s="46" t="n">
        <x:v>0.11709197080291972</x:v>
      </x:c>
      <x:c r="K66" s="46" t="n">
        <x:v>0.09777956204379562</x:v>
      </x:c>
      <x:c r="L66" s="46" t="n">
        <x:v>0.07705839416058394</x:v>
      </x:c>
      <x:c r="M66" s="46" t="n">
        <x:v>0</x:v>
      </x:c>
      <x:c r="N66" s="46" t="n">
        <x:v>0.2497393117831074</x:v>
      </x:c>
      <x:c r="O66" s="48" t="str">
        <x:v>R</x:v>
      </x:c>
      <x:c r="P66" s="46" t="n">
        <x:v>0</x:v>
      </x:c>
      <x:c r="Q66" s="45" t="n">
        <x:v>1</x:v>
      </x:c>
    </x:row>
    <x:row r="67">
      <x:c r="A67" s="45" t="n">
        <x:v>66</x:v>
      </x:c>
      <x:c r="B67" s="45" t="n">
        <x:v>91</x:v>
      </x:c>
      <x:c r="C67" s="45" t="n">
        <x:v>1</x:v>
      </x:c>
      <x:c r="D67" s="43" t="str">
        <x:v>Alarcon et al. (2014)</x:v>
      </x:c>
      <x:c r="E67" s="43" t="str">
        <x:v>W3</x:v>
      </x:c>
      <x:c r="F67" s="45" t="n">
        <x:v>1</x:v>
      </x:c>
      <x:c r="G67" s="44" t="str">
        <x:v>Flexural</x:v>
      </x:c>
      <x:c r="H67" s="46" t="n">
        <x:v>2.5</x:v>
      </x:c>
      <x:c r="I67" s="46" t="n">
        <x:v>7</x:v>
      </x:c>
      <x:c r="J67" s="46" t="n">
        <x:v>0.11709197080291972</x:v>
      </x:c>
      <x:c r="K67" s="46" t="n">
        <x:v>0.09777956204379562</x:v>
      </x:c>
      <x:c r="L67" s="46" t="n">
        <x:v>0.07705839416058394</x:v>
      </x:c>
      <x:c r="M67" s="46" t="n">
        <x:v>0</x:v>
      </x:c>
      <x:c r="N67" s="46" t="n">
        <x:v>0.35015641293013555</x:v>
      </x:c>
      <x:c r="O67" s="48" t="str">
        <x:v>R</x:v>
      </x:c>
      <x:c r="P67" s="46" t="n">
        <x:v>0</x:v>
      </x:c>
      <x:c r="Q67" s="45" t="n">
        <x:v>1</x:v>
      </x:c>
    </x:row>
    <x:row r="68">
      <x:c r="A68" s="45" t="n">
        <x:v>67</x:v>
      </x:c>
      <x:c r="B68" s="45" t="n">
        <x:v>92</x:v>
      </x:c>
      <x:c r="C68" s="45" t="n">
        <x:v>0</x:v>
      </x:c>
      <x:c r="D68" s="43" t="str">
        <x:v>Tran (2012)</x:v>
      </x:c>
      <x:c r="E68" s="43" t="str">
        <x:v>RW-A20-P10-S38</x:v>
      </x:c>
      <x:c r="F68" s="45" t="n">
        <x:v>2</x:v>
      </x:c>
      <x:c r="G68" s="44" t="str">
        <x:v>Shear</x:v>
      </x:c>
      <x:c r="H68" s="46" t="n">
        <x:v>2</x:v>
      </x:c>
      <x:c r="I68" s="46" t="n">
        <x:v>8.019736842105264</x:v>
      </x:c>
      <x:c r="J68" s="46" t="n">
        <x:v>0.025796178343949046</x:v>
      </x:c>
      <x:c r="K68" s="46" t="n">
        <x:v>0.029579617834394903</x:v>
      </x:c>
      <x:c r="L68" s="46" t="n">
        <x:v>0.32368577494692147</x:v>
      </x:c>
      <x:c r="M68" s="46" t="n">
        <x:v>0.14242038216560507</x:v>
      </x:c>
      <x:c r="N68" s="46" t="n">
        <x:v>0.07344966660497353</x:v>
      </x:c>
      <x:c r="O68" s="48" t="str">
        <x:v>R</x:v>
      </x:c>
      <x:c r="P68" s="46" t="n">
        <x:v>0</x:v>
      </x:c>
      <x:c r="Q68" s="45" t="n">
        <x:v>1</x:v>
      </x:c>
    </x:row>
    <x:row r="69">
      <x:c r="A69" s="45" t="n">
        <x:v>68</x:v>
      </x:c>
      <x:c r="B69" s="45" t="n">
        <x:v>93</x:v>
      </x:c>
      <x:c r="C69" s="45" t="n">
        <x:v>0</x:v>
      </x:c>
      <x:c r="D69" s="43" t="str">
        <x:v>Tran (2012)</x:v>
      </x:c>
      <x:c r="E69" s="43" t="str">
        <x:v>RW-A20-P10-S63</x:v>
      </x:c>
      <x:c r="F69" s="45" t="n">
        <x:v>1</x:v>
      </x:c>
      <x:c r="G69" s="44" t="str">
        <x:v>Flexural</x:v>
      </x:c>
      <x:c r="H69" s="46" t="n">
        <x:v>2</x:v>
      </x:c>
      <x:c r="I69" s="46" t="n">
        <x:v>8.019736842105264</x:v>
      </x:c>
      <x:c r="J69" s="46" t="n">
        <x:v>0.055602880658436216</x:v>
      </x:c>
      <x:c r="K69" s="46" t="n">
        <x:v>0.055602880658436216</x:v>
      </x:c>
      <x:c r="L69" s="46" t="n">
        <x:v>0.6978333333333332</x:v>
      </x:c>
      <x:c r="M69" s="46" t="n">
        <x:v>0.11849794238683126</x:v>
      </x:c>
      <x:c r="N69" s="46" t="n">
        <x:v>0.0730705423460006</x:v>
      </x:c>
      <x:c r="O69" s="48" t="str">
        <x:v>R</x:v>
      </x:c>
      <x:c r="P69" s="46" t="n">
        <x:v>0</x:v>
      </x:c>
      <x:c r="Q69" s="45" t="n">
        <x:v>1</x:v>
      </x:c>
    </x:row>
    <x:row r="70">
      <x:c r="A70" s="45" t="n">
        <x:v>69</x:v>
      </x:c>
      <x:c r="B70" s="45" t="n">
        <x:v>94</x:v>
      </x:c>
      <x:c r="C70" s="45" t="n">
        <x:v>0</x:v>
      </x:c>
      <x:c r="D70" s="43" t="str">
        <x:v>Tran (2012)</x:v>
      </x:c>
      <x:c r="E70" s="43" t="str">
        <x:v>RW-A15-P10-S51</x:v>
      </x:c>
      <x:c r="F70" s="45" t="n">
        <x:v>1</x:v>
      </x:c>
      <x:c r="G70" s="44" t="str">
        <x:v>Flexural</x:v>
      </x:c>
      <x:c r="H70" s="46" t="n">
        <x:v>1.5004101722723544</x:v>
      </x:c>
      <x:c r="I70" s="46" t="n">
        <x:v>8.019736842105264</x:v>
      </x:c>
      <x:c r="J70" s="46" t="n">
        <x:v>0.02950819672131148</x:v>
      </x:c>
      <x:c r="K70" s="46" t="n">
        <x:v>0.033836065573770495</x:v>
      </x:c>
      <x:c r="L70" s="46" t="n">
        <x:v>0.3124098360655738</x:v>
      </x:c>
      <x:c r="M70" s="46" t="n">
        <x:v>0.13745901639344263</x:v>
      </x:c>
      <x:c r="N70" s="46" t="n">
        <x:v>0.07719484633934519</x:v>
      </x:c>
      <x:c r="O70" s="48" t="str">
        <x:v>R</x:v>
      </x:c>
      <x:c r="P70" s="46" t="n">
        <x:v>0</x:v>
      </x:c>
      <x:c r="Q70" s="45" t="n">
        <x:v>1</x:v>
      </x:c>
    </x:row>
    <x:row r="71">
      <x:c r="A71" s="45" t="n">
        <x:v>70</x:v>
      </x:c>
      <x:c r="B71" s="45" t="n">
        <x:v>95</x:v>
      </x:c>
      <x:c r="C71" s="45" t="n">
        <x:v>0</x:v>
      </x:c>
      <x:c r="D71" s="43" t="str">
        <x:v>Tran (2012)</x:v>
      </x:c>
      <x:c r="E71" s="43" t="str">
        <x:v>RW-A15-P10-S78</x:v>
      </x:c>
      <x:c r="F71" s="45" t="n">
        <x:v>4</x:v>
      </x:c>
      <x:c r="G71" s="44" t="str">
        <x:v>Sliding</x:v>
      </x:c>
      <x:c r="H71" s="46" t="n">
        <x:v>1.5004101722723544</x:v>
      </x:c>
      <x:c r="I71" s="46" t="n">
        <x:v>8.019736842105264</x:v>
      </x:c>
      <x:c r="J71" s="46" t="n">
        <x:v>0.057955197132616494</x:v>
      </x:c>
      <x:c r="K71" s="46" t="n">
        <x:v>0.057955197132616494</x:v>
      </x:c>
      <x:c r="L71" s="46" t="n">
        <x:v>0.5180322580645161</x:v>
      </x:c>
      <x:c r="M71" s="46" t="n">
        <x:v>0.10320788530465949</x:v>
      </x:c>
      <x:c r="N71" s="46" t="n">
        <x:v>0.06412568774074698</x:v>
      </x:c>
      <x:c r="O71" s="48" t="str">
        <x:v>R</x:v>
      </x:c>
      <x:c r="P71" s="46" t="n">
        <x:v>0</x:v>
      </x:c>
      <x:c r="Q71" s="45" t="n">
        <x:v>1</x:v>
      </x:c>
    </x:row>
    <x:row r="72">
      <x:c r="A72" s="45" t="n">
        <x:v>71</x:v>
      </x:c>
      <x:c r="B72" s="45" t="n">
        <x:v>96</x:v>
      </x:c>
      <x:c r="C72" s="45" t="n">
        <x:v>0</x:v>
      </x:c>
      <x:c r="D72" s="43" t="str">
        <x:v>Tran (2012)</x:v>
      </x:c>
      <x:c r="E72" s="43" t="str">
        <x:v>RW-A15-P2.5-S64</x:v>
      </x:c>
      <x:c r="F72" s="45" t="n">
        <x:v>4</x:v>
      </x:c>
      <x:c r="G72" s="44" t="str">
        <x:v>Sliding</x:v>
      </x:c>
      <x:c r="H72" s="46" t="n">
        <x:v>1.5004101722723544</x:v>
      </x:c>
      <x:c r="I72" s="46" t="n">
        <x:v>8.019736842105264</x:v>
      </x:c>
      <x:c r="J72" s="46" t="n">
        <x:v>0.04699652173913044</x:v>
      </x:c>
      <x:c r="K72" s="46" t="n">
        <x:v>0.04699652173913044</x:v>
      </x:c>
      <x:c r="L72" s="46" t="n">
        <x:v>0.5027165217391305</x:v>
      </x:c>
      <x:c r="M72" s="46" t="n">
        <x:v>0.10015652173913042</x:v>
      </x:c>
      <x:c r="N72" s="46" t="n">
        <x:v>0.01586249748922007</x:v>
      </x:c>
      <x:c r="O72" s="48" t="str">
        <x:v>R</x:v>
      </x:c>
      <x:c r="P72" s="46" t="n">
        <x:v>0</x:v>
      </x:c>
      <x:c r="Q72" s="45" t="n">
        <x:v>1</x:v>
      </x:c>
    </x:row>
    <x:row r="73">
      <x:c r="A73" s="45" t="n">
        <x:v>72</x:v>
      </x:c>
      <x:c r="B73" s="45" t="n">
        <x:v>97</x:v>
      </x:c>
      <x:c r="C73" s="45" t="n">
        <x:v>0</x:v>
      </x:c>
      <x:c r="D73" s="43" t="str">
        <x:v>Hube et al. (2017)</x:v>
      </x:c>
      <x:c r="E73" s="43" t="str">
        <x:v>WSL1</x:v>
      </x:c>
      <x:c r="F73" s="45" t="n">
        <x:v>3</x:v>
      </x:c>
      <x:c r="G73" s="44" t="str">
        <x:v>Flex-Shear</x:v>
      </x:c>
      <x:c r="H73" s="46" t="n">
        <x:v>1.09375</x:v>
      </x:c>
      <x:c r="I73" s="46" t="n">
        <x:v>16</x:v>
      </x:c>
      <x:c r="J73" s="46" t="n">
        <x:v>0.03086505190311419</x:v>
      </x:c>
      <x:c r="K73" s="46" t="n">
        <x:v>0.041799307958477507</x:v>
      </x:c>
      <x:c r="L73" s="46" t="n">
        <x:v>0.03031141868512111</x:v>
      </x:c>
      <x:c r="M73" s="46" t="n">
        <x:v>0.16719723183391003</x:v>
      </x:c>
      <x:c r="N73" s="46" t="n">
        <x:v>0</x:v>
      </x:c>
      <x:c r="O73" s="48" t="str">
        <x:v>R</x:v>
      </x:c>
      <x:c r="P73" s="46" t="n">
        <x:v>0</x:v>
      </x:c>
      <x:c r="Q73" s="45" t="n">
        <x:v>1</x:v>
      </x:c>
    </x:row>
    <x:row r="74">
      <x:c r="A74" s="45" t="n">
        <x:v>73</x:v>
      </x:c>
      <x:c r="B74" s="45" t="n">
        <x:v>98</x:v>
      </x:c>
      <x:c r="C74" s="45" t="n">
        <x:v>0</x:v>
      </x:c>
      <x:c r="D74" s="43" t="str">
        <x:v>Hube et al. (2017)</x:v>
      </x:c>
      <x:c r="E74" s="43" t="str">
        <x:v>WSL2</x:v>
      </x:c>
      <x:c r="F74" s="45" t="n">
        <x:v>4</x:v>
      </x:c>
      <x:c r="G74" s="44" t="str">
        <x:v>Sliding</x:v>
      </x:c>
      <x:c r="H74" s="46" t="n">
        <x:v>1.09375</x:v>
      </x:c>
      <x:c r="I74" s="46" t="n">
        <x:v>16</x:v>
      </x:c>
      <x:c r="J74" s="46" t="n">
        <x:v>0.03086505190311419</x:v>
      </x:c>
      <x:c r="K74" s="46" t="n">
        <x:v>0.041799307958477507</x:v>
      </x:c>
      <x:c r="L74" s="46" t="n">
        <x:v>0.03031141868512111</x:v>
      </x:c>
      <x:c r="M74" s="46" t="n">
        <x:v>0.06269896193771626</x:v>
      </x:c>
      <x:c r="N74" s="46" t="n">
        <x:v>0</x:v>
      </x:c>
      <x:c r="O74" s="48" t="str">
        <x:v>R</x:v>
      </x:c>
      <x:c r="P74" s="46" t="n">
        <x:v>0</x:v>
      </x:c>
      <x:c r="Q74" s="45" t="n">
        <x:v>1</x:v>
      </x:c>
    </x:row>
    <x:row r="75">
      <x:c r="A75" s="45" t="n">
        <x:v>74</x:v>
      </x:c>
      <x:c r="B75" s="45" t="n">
        <x:v>99</x:v>
      </x:c>
      <x:c r="C75" s="45" t="n">
        <x:v>0</x:v>
      </x:c>
      <x:c r="D75" s="43" t="str">
        <x:v>Hube et al. (2017)</x:v>
      </x:c>
      <x:c r="E75" s="43" t="str">
        <x:v>WSL3</x:v>
      </x:c>
      <x:c r="F75" s="45" t="n">
        <x:v>3</x:v>
      </x:c>
      <x:c r="G75" s="44" t="str">
        <x:v>Flex-Shear</x:v>
      </x:c>
      <x:c r="H75" s="46" t="n">
        <x:v>1.09375</x:v>
      </x:c>
      <x:c r="I75" s="46" t="n">
        <x:v>16</x:v>
      </x:c>
      <x:c r="J75" s="46" t="n">
        <x:v>0.040124567474048446</x:v>
      </x:c>
      <x:c r="K75" s="46" t="n">
        <x:v>0.05406920415224914</x:v>
      </x:c>
      <x:c r="L75" s="46" t="n">
        <x:v>0.039404844290657444</x:v>
      </x:c>
      <x:c r="M75" s="46" t="n">
        <x:v>0.16636678200692043</x:v>
      </x:c>
      <x:c r="N75" s="46" t="n">
        <x:v>0</x:v>
      </x:c>
      <x:c r="O75" s="48" t="str">
        <x:v>R</x:v>
      </x:c>
      <x:c r="P75" s="46" t="n">
        <x:v>0</x:v>
      </x:c>
      <x:c r="Q75" s="45" t="n">
        <x:v>1</x:v>
      </x:c>
    </x:row>
    <x:row r="76">
      <x:c r="A76" s="45" t="n">
        <x:v>75</x:v>
      </x:c>
      <x:c r="B76" s="45" t="n">
        <x:v>100</x:v>
      </x:c>
      <x:c r="C76" s="45" t="n">
        <x:v>0</x:v>
      </x:c>
      <x:c r="D76" s="43" t="str">
        <x:v>Hube et al. (2017)</x:v>
      </x:c>
      <x:c r="E76" s="43" t="str">
        <x:v>WSL4</x:v>
      </x:c>
      <x:c r="F76" s="45" t="n">
        <x:v>3</x:v>
      </x:c>
      <x:c r="G76" s="44" t="str">
        <x:v>Flex-Shear</x:v>
      </x:c>
      <x:c r="H76" s="46" t="n">
        <x:v>1.09375</x:v>
      </x:c>
      <x:c r="I76" s="46" t="n">
        <x:v>16</x:v>
      </x:c>
      <x:c r="J76" s="46" t="n">
        <x:v>0.02160553633217993</x:v>
      </x:c>
      <x:c r="K76" s="46" t="n">
        <x:v>0.030615916955017305</x:v>
      </x:c>
      <x:c r="L76" s="46" t="n">
        <x:v>0.021217993079584774</x:v>
      </x:c>
      <x:c r="M76" s="46" t="n">
        <x:v>0.17494809688581317</x:v>
      </x:c>
      <x:c r="N76" s="46" t="n">
        <x:v>0</x:v>
      </x:c>
      <x:c r="O76" s="48" t="str">
        <x:v>R</x:v>
      </x:c>
      <x:c r="P76" s="46" t="n">
        <x:v>0</x:v>
      </x:c>
      <x:c r="Q76" s="45" t="n">
        <x:v>1</x:v>
      </x:c>
    </x:row>
    <x:row r="77">
      <x:c r="A77" s="45" t="n">
        <x:v>76</x:v>
      </x:c>
      <x:c r="B77" s="45" t="n">
        <x:v>101</x:v>
      </x:c>
      <x:c r="C77" s="45" t="n">
        <x:v>0</x:v>
      </x:c>
      <x:c r="D77" s="43" t="str">
        <x:v>Hube et al. (2017)</x:v>
      </x:c>
      <x:c r="E77" s="43" t="str">
        <x:v>WSL5</x:v>
      </x:c>
      <x:c r="F77" s="45" t="n">
        <x:v>2</x:v>
      </x:c>
      <x:c r="G77" s="44" t="str">
        <x:v>Shear</x:v>
      </x:c>
      <x:c r="H77" s="46" t="n">
        <x:v>1.09375</x:v>
      </x:c>
      <x:c r="I77" s="46" t="n">
        <x:v>16</x:v>
      </x:c>
      <x:c r="J77" s="46" t="n">
        <x:v>0.03086505190311419</x:v>
      </x:c>
      <x:c r="K77" s="46" t="n">
        <x:v>0.03086505190311419</x:v>
      </x:c>
      <x:c r="L77" s="46" t="n">
        <x:v>0.03031141868512111</x:v>
      </x:c>
      <x:c r="M77" s="46" t="n">
        <x:v>0.12346020761245675</x:v>
      </x:c>
      <x:c r="N77" s="46" t="n">
        <x:v>0</x:v>
      </x:c>
      <x:c r="O77" s="48" t="str">
        <x:v>R</x:v>
      </x:c>
      <x:c r="P77" s="46" t="n">
        <x:v>0</x:v>
      </x:c>
      <x:c r="Q77" s="45" t="n">
        <x:v>1</x:v>
      </x:c>
    </x:row>
    <x:row r="78">
      <x:c r="A78" s="45" t="n">
        <x:v>77</x:v>
      </x:c>
      <x:c r="B78" s="45" t="n">
        <x:v>102</x:v>
      </x:c>
      <x:c r="C78" s="45" t="n">
        <x:v>0</x:v>
      </x:c>
      <x:c r="D78" s="43" t="str">
        <x:v>Hube et al. (2017)</x:v>
      </x:c>
      <x:c r="E78" s="43" t="str">
        <x:v>WSL6</x:v>
      </x:c>
      <x:c r="F78" s="45" t="n">
        <x:v>3</x:v>
      </x:c>
      <x:c r="G78" s="44" t="str">
        <x:v>Flex-Shear</x:v>
      </x:c>
      <x:c r="H78" s="46" t="n">
        <x:v>1.09375</x:v>
      </x:c>
      <x:c r="I78" s="46" t="n">
        <x:v>16</x:v>
      </x:c>
      <x:c r="J78" s="46" t="n">
        <x:v>0.02160553633217993</x:v>
      </x:c>
      <x:c r="K78" s="46" t="n">
        <x:v>0.02160553633217993</x:v>
      </x:c>
      <x:c r="L78" s="46" t="n">
        <x:v>0.021217993079584774</x:v>
      </x:c>
      <x:c r="M78" s="46" t="n">
        <x:v>0.12346020761245675</x:v>
      </x:c>
      <x:c r="N78" s="46" t="n">
        <x:v>0</x:v>
      </x:c>
      <x:c r="O78" s="48" t="str">
        <x:v>R</x:v>
      </x:c>
      <x:c r="P78" s="46" t="n">
        <x:v>0</x:v>
      </x:c>
      <x:c r="Q78" s="45" t="n">
        <x:v>1</x:v>
      </x:c>
    </x:row>
    <x:row r="79">
      <x:c r="A79" s="45" t="n">
        <x:v>78</x:v>
      </x:c>
      <x:c r="B79" s="45" t="n">
        <x:v>103</x:v>
      </x:c>
      <x:c r="C79" s="45" t="n">
        <x:v>0</x:v>
      </x:c>
      <x:c r="D79" s="43" t="str">
        <x:v>Hube et al. (2017)</x:v>
      </x:c>
      <x:c r="E79" s="43" t="str">
        <x:v>WSL7</x:v>
      </x:c>
      <x:c r="F79" s="45" t="n">
        <x:v>3</x:v>
      </x:c>
      <x:c r="G79" s="44" t="str">
        <x:v>Flex-Shear</x:v>
      </x:c>
      <x:c r="H79" s="46" t="n">
        <x:v>1.09375</x:v>
      </x:c>
      <x:c r="I79" s="46" t="n">
        <x:v>18.823529411764707</x:v>
      </x:c>
      <x:c r="J79" s="46" t="n">
        <x:v>0.038581314878892735</x:v>
      </x:c>
      <x:c r="K79" s="46" t="n">
        <x:v>0.05224913494809689</x:v>
      </x:c>
      <x:c r="L79" s="46" t="n">
        <x:v>0.03788927335640138</x:v>
      </x:c>
      <x:c r="M79" s="46" t="n">
        <x:v>0.12539792387543253</x:v>
      </x:c>
      <x:c r="N79" s="46" t="n">
        <x:v>0</x:v>
      </x:c>
      <x:c r="O79" s="48" t="str">
        <x:v>R</x:v>
      </x:c>
      <x:c r="P79" s="46" t="n">
        <x:v>0</x:v>
      </x:c>
      <x:c r="Q79" s="45" t="n">
        <x:v>1</x:v>
      </x:c>
    </x:row>
    <x:row r="80">
      <x:c r="A80" s="45" t="n">
        <x:v>79</x:v>
      </x:c>
      <x:c r="B80" s="45" t="n">
        <x:v>104</x:v>
      </x:c>
      <x:c r="C80" s="45" t="n">
        <x:v>0</x:v>
      </x:c>
      <x:c r="D80" s="43" t="str">
        <x:v>Hube et al. (2017)</x:v>
      </x:c>
      <x:c r="E80" s="43" t="str">
        <x:v>WSL8</x:v>
      </x:c>
      <x:c r="F80" s="45" t="n">
        <x:v>3</x:v>
      </x:c>
      <x:c r="G80" s="44" t="str">
        <x:v>Flex-Shear</x:v>
      </x:c>
      <x:c r="H80" s="46" t="n">
        <x:v>1.09375</x:v>
      </x:c>
      <x:c r="I80" s="46" t="n">
        <x:v>18.823529411764707</x:v>
      </x:c>
      <x:c r="J80" s="46" t="n">
        <x:v>0.026235294117647058</x:v>
      </x:c>
      <x:c r="K80" s="46" t="n">
        <x:v>0.0371764705882353</x:v>
      </x:c>
      <x:c r="L80" s="46" t="n">
        <x:v>0.02576470588235294</x:v>
      </x:c>
      <x:c r="M80" s="46" t="n">
        <x:v>0.13121107266435988</x:v>
      </x:c>
      <x:c r="N80" s="46" t="n">
        <x:v>0</x:v>
      </x:c>
      <x:c r="O80" s="48" t="str">
        <x:v>R</x:v>
      </x:c>
      <x:c r="P80" s="46" t="n">
        <x:v>0</x:v>
      </x:c>
      <x:c r="Q80" s="45" t="n">
        <x:v>1</x:v>
      </x:c>
    </x:row>
    <x:row r="81">
      <x:c r="A81" s="45" t="n">
        <x:v>80</x:v>
      </x:c>
      <x:c r="B81" s="45" t="n">
        <x:v>105</x:v>
      </x:c>
      <x:c r="C81" s="45" t="n">
        <x:v>0</x:v>
      </x:c>
      <x:c r="D81" s="43" t="str">
        <x:v>Hube et al. (2017)</x:v>
      </x:c>
      <x:c r="E81" s="43" t="str">
        <x:v>WSL9</x:v>
      </x:c>
      <x:c r="F81" s="45" t="n">
        <x:v>2</x:v>
      </x:c>
      <x:c r="G81" s="44" t="str">
        <x:v>Shear</x:v>
      </x:c>
      <x:c r="H81" s="46" t="n">
        <x:v>1.09375</x:v>
      </x:c>
      <x:c r="I81" s="46" t="n">
        <x:v>18.823529411764707</x:v>
      </x:c>
      <x:c r="J81" s="46" t="n">
        <x:v>0.038581314878892735</x:v>
      </x:c>
      <x:c r="K81" s="46" t="n">
        <x:v>0.038581314878892735</x:v>
      </x:c>
      <x:c r="L81" s="46" t="n">
        <x:v>0.03788927335640138</x:v>
      </x:c>
      <x:c r="M81" s="46" t="n">
        <x:v>0.09259515570934257</x:v>
      </x:c>
      <x:c r="N81" s="46" t="n">
        <x:v>0</x:v>
      </x:c>
      <x:c r="O81" s="48" t="str">
        <x:v>R</x:v>
      </x:c>
      <x:c r="P81" s="46" t="n">
        <x:v>0</x:v>
      </x:c>
      <x:c r="Q81" s="45" t="n">
        <x:v>1</x:v>
      </x:c>
    </x:row>
    <x:row r="82">
      <x:c r="A82" s="45" t="n">
        <x:v>81</x:v>
      </x:c>
      <x:c r="B82" s="45" t="n">
        <x:v>121</x:v>
      </x:c>
      <x:c r="C82" s="45" t="n">
        <x:v>0</x:v>
      </x:c>
      <x:c r="D82" s="43" t="str">
        <x:v>Liu et al. (2009)</x:v>
      </x:c>
      <x:c r="E82" s="43" t="str">
        <x:v>M05C</x:v>
      </x:c>
      <x:c r="F82" s="45" t="n">
        <x:v>2</x:v>
      </x:c>
      <x:c r="G82" s="44" t="str">
        <x:v>Shear</x:v>
      </x:c>
      <x:c r="H82" s="46" t="n">
        <x:v>2.5</x:v>
      </x:c>
      <x:c r="I82" s="46" t="n">
        <x:v>13.368421052631579</x:v>
      </x:c>
      <x:c r="J82" s="46" t="n">
        <x:v>0.14219607843137255</x:v>
      </x:c>
      <x:c r="K82" s="46" t="n">
        <x:v>0.183759477124183</x:v>
      </x:c>
      <x:c r="L82" s="46" t="n">
        <x:v>0.5404901960784314</x:v>
      </x:c>
      <x:c r="M82" s="46" t="n">
        <x:v>0.22570457516339867</x:v>
      </x:c>
      <x:c r="N82" s="46" t="n">
        <x:v>0.07515183225388568</x:v>
      </x:c>
      <x:c r="O82" s="48" t="str">
        <x:v>B</x:v>
      </x:c>
      <x:c r="P82" s="46" t="n">
        <x:v>0.38484848484848483</x:v>
      </x:c>
      <x:c r="Q82" s="45" t="n">
        <x:v>1</x:v>
      </x:c>
    </x:row>
    <x:row r="83">
      <x:c r="A83" s="45" t="n">
        <x:v>82</x:v>
      </x:c>
      <x:c r="B83" s="45" t="n">
        <x:v>123</x:v>
      </x:c>
      <x:c r="C83" s="45" t="n">
        <x:v>0</x:v>
      </x:c>
      <x:c r="D83" s="43" t="str">
        <x:v>Liu et al. (2009)</x:v>
      </x:c>
      <x:c r="E83" s="43" t="str">
        <x:v>M10C</x:v>
      </x:c>
      <x:c r="F83" s="45" t="n">
        <x:v>2</x:v>
      </x:c>
      <x:c r="G83" s="44" t="str">
        <x:v>Shear</x:v>
      </x:c>
      <x:c r="H83" s="46" t="n">
        <x:v>2.5</x:v>
      </x:c>
      <x:c r="I83" s="46" t="n">
        <x:v>13.368421052631579</x:v>
      </x:c>
      <x:c r="J83" s="46" t="n">
        <x:v>0.12380319148936171</x:v>
      </x:c>
      <x:c r="K83" s="46" t="n">
        <x:v>0.1777035460992908</x:v>
      </x:c>
      <x:c r="L83" s="46" t="n">
        <x:v>0.4408510638297873</x:v>
      </x:c>
      <x:c r="M83" s="46" t="n">
        <x:v>0.2182663120567376</x:v>
      </x:c>
      <x:c r="N83" s="46" t="n">
        <x:v>0.06116079965342823</x:v>
      </x:c>
      <x:c r="O83" s="48" t="str">
        <x:v>B</x:v>
      </x:c>
      <x:c r="P83" s="46" t="n">
        <x:v>0.38484848484848483</x:v>
      </x:c>
      <x:c r="Q83" s="45" t="n">
        <x:v>1</x:v>
      </x:c>
    </x:row>
    <x:row r="84">
      <x:c r="A84" s="45" t="n">
        <x:v>83</x:v>
      </x:c>
      <x:c r="B84" s="45" t="n">
        <x:v>125</x:v>
      </x:c>
      <x:c r="C84" s="45" t="n">
        <x:v>0</x:v>
      </x:c>
      <x:c r="D84" s="43" t="str">
        <x:v>Liu et al. (2009)</x:v>
      </x:c>
      <x:c r="E84" s="43" t="str">
        <x:v>M15C</x:v>
      </x:c>
      <x:c r="F84" s="45" t="n">
        <x:v>1</x:v>
      </x:c>
      <x:c r="G84" s="44" t="str">
        <x:v>Flexural</x:v>
      </x:c>
      <x:c r="H84" s="46" t="n">
        <x:v>2.5</x:v>
      </x:c>
      <x:c r="I84" s="46" t="n">
        <x:v>13.368421052631579</x:v>
      </x:c>
      <x:c r="J84" s="46" t="n">
        <x:v>0.08827340823970037</x:v>
      </x:c>
      <x:c r="K84" s="46" t="n">
        <x:v>0.11561448189762796</x:v>
      </x:c>
      <x:c r="L84" s="46" t="n">
        <x:v>0.2904744069912609</x:v>
      </x:c>
      <x:c r="M84" s="46" t="n">
        <x:v>0.22494556803995006</x:v>
      </x:c>
      <x:c r="N84" s="46" t="n">
        <x:v>0.043064533089305274</x:v>
      </x:c>
      <x:c r="O84" s="48" t="str">
        <x:v>B</x:v>
      </x:c>
      <x:c r="P84" s="46" t="n">
        <x:v>0.38484848484848483</x:v>
      </x:c>
      <x:c r="Q84" s="45" t="n">
        <x:v>1</x:v>
      </x:c>
    </x:row>
    <x:row r="85">
      <x:c r="A85" s="45" t="n">
        <x:v>84</x:v>
      </x:c>
      <x:c r="B85" s="45" t="n">
        <x:v>127</x:v>
      </x:c>
      <x:c r="C85" s="45" t="n">
        <x:v>0</x:v>
      </x:c>
      <x:c r="D85" s="43" t="str">
        <x:v>Liu et al. (2009)</x:v>
      </x:c>
      <x:c r="E85" s="43" t="str">
        <x:v>M20C</x:v>
      </x:c>
      <x:c r="F85" s="45" t="n">
        <x:v>1</x:v>
      </x:c>
      <x:c r="G85" s="44" t="str">
        <x:v>Flexural</x:v>
      </x:c>
      <x:c r="H85" s="46" t="n">
        <x:v>2.5</x:v>
      </x:c>
      <x:c r="I85" s="46" t="n">
        <x:v>13.368421052631579</x:v>
      </x:c>
      <x:c r="J85" s="46" t="n">
        <x:v>0.049224770642201834</x:v>
      </x:c>
      <x:c r="K85" s="46" t="n">
        <x:v>0.08297782874617736</x:v>
      </x:c>
      <x:c r="L85" s="46" t="n">
        <x:v>0.18924311926605503</x:v>
      </x:c>
      <x:c r="M85" s="46" t="n">
        <x:v>0.07654281345565749</x:v>
      </x:c>
      <x:c r="N85" s="46" t="n">
        <x:v>0.026372087923955293</x:v>
      </x:c>
      <x:c r="O85" s="48" t="str">
        <x:v>B</x:v>
      </x:c>
      <x:c r="P85" s="46" t="n">
        <x:v>0.38484848484848483</x:v>
      </x:c>
      <x:c r="Q85" s="45" t="n">
        <x:v>1</x:v>
      </x:c>
    </x:row>
    <x:row r="86">
      <x:c r="A86" s="45" t="n">
        <x:v>85</x:v>
      </x:c>
      <x:c r="B86" s="45" t="n">
        <x:v>130</x:v>
      </x:c>
      <x:c r="C86" s="45" t="n">
        <x:v>0</x:v>
      </x:c>
      <x:c r="D86" s="43" t="str">
        <x:v>Ghorbani-Renani et al. (2009)</x:v>
      </x:c>
      <x:c r="E86" s="43" t="str">
        <x:v>A2C</x:v>
      </x:c>
      <x:c r="F86" s="45" t="n">
        <x:v>4</x:v>
      </x:c>
      <x:c r="G86" s="44" t="str">
        <x:v>Sliding</x:v>
      </x:c>
      <x:c r="H86" s="46" t="n">
        <x:v>2.076923076923077</x:v>
      </x:c>
      <x:c r="I86" s="46" t="n">
        <x:v>6.5</x:v>
      </x:c>
      <x:c r="J86" s="46" t="n">
        <x:v>0.09339929328621907</x:v>
      </x:c>
      <x:c r="K86" s="46" t="n">
        <x:v>0.09423321554770317</x:v>
      </x:c>
      <x:c r="L86" s="46" t="n">
        <x:v>0.6223003533568905</x:v>
      </x:c>
      <x:c r="M86" s="46" t="n">
        <x:v>0.35137809187279145</x:v>
      </x:c>
      <x:c r="N86" s="46" t="n">
        <x:v>0</x:v>
      </x:c>
      <x:c r="O86" s="48" t="str">
        <x:v>R</x:v>
      </x:c>
      <x:c r="P86" s="46" t="n">
        <x:v>0</x:v>
      </x:c>
      <x:c r="Q86" s="45" t="n">
        <x:v>1</x:v>
      </x:c>
    </x:row>
    <x:row r="87">
      <x:c r="A87" s="45" t="n">
        <x:v>86</x:v>
      </x:c>
      <x:c r="B87" s="45" t="n">
        <x:v>132</x:v>
      </x:c>
      <x:c r="C87" s="45" t="n">
        <x:v>0</x:v>
      </x:c>
      <x:c r="D87" s="43" t="str">
        <x:v>Ghorbani-Renani et al. (2009)</x:v>
      </x:c>
      <x:c r="E87" s="43" t="str">
        <x:v>B2C</x:v>
      </x:c>
      <x:c r="F87" s="45" t="n">
        <x:v>1</x:v>
      </x:c>
      <x:c r="G87" s="44" t="str">
        <x:v>Flexural</x:v>
      </x:c>
      <x:c r="H87" s="46" t="n">
        <x:v>2.0802919708029197</x:v>
      </x:c>
      <x:c r="I87" s="46" t="n">
        <x:v>6.523809523809524</x:v>
      </x:c>
      <x:c r="J87" s="46" t="n">
        <x:v>0.06797872340425533</x:v>
      </x:c>
      <x:c r="K87" s="46" t="n">
        <x:v>0.06414893617021276</x:v>
      </x:c>
      <x:c r="L87" s="46" t="n">
        <x:v>0.34085106382978725</x:v>
      </x:c>
      <x:c r="M87" s="46" t="n">
        <x:v>0.2527659574468085</x:v>
      </x:c>
      <x:c r="N87" s="46" t="n">
        <x:v>0</x:v>
      </x:c>
      <x:c r="O87" s="48" t="str">
        <x:v>R</x:v>
      </x:c>
      <x:c r="P87" s="46" t="n">
        <x:v>0</x:v>
      </x:c>
      <x:c r="Q87" s="45" t="n">
        <x:v>1</x:v>
      </x:c>
    </x:row>
    <x:row r="88">
      <x:c r="A88" s="45" t="n">
        <x:v>87</x:v>
      </x:c>
      <x:c r="B88" s="45" t="n">
        <x:v>133</x:v>
      </x:c>
      <x:c r="C88" s="45" t="n">
        <x:v>0</x:v>
      </x:c>
      <x:c r="D88" s="43" t="str">
        <x:v>Hirosawa (1975)</x:v>
      </x:c>
      <x:c r="E88" s="43" t="str">
        <x:v>Endo_1-3</x:v>
      </x:c>
      <x:c r="F88" s="45" t="n">
        <x:v>2</x:v>
      </x:c>
      <x:c r="G88" s="44" t="str">
        <x:v>Shear</x:v>
      </x:c>
      <x:c r="H88" s="46" t="n">
        <x:v>0.8333333333333334</x:v>
      </x:c>
      <x:c r="I88" s="46" t="n">
        <x:v>28.125</x:v>
      </x:c>
      <x:c r="J88" s="46" t="n">
        <x:v>0.03835692307692307</x:v>
      </x:c>
      <x:c r="K88" s="46" t="n">
        <x:v>0.03356230769230769</x:v>
      </x:c>
      <x:c r="L88" s="46" t="n">
        <x:v>0.11174884615384614</x:v>
      </x:c>
      <x:c r="M88" s="46" t="n">
        <x:v>0.05422582248874665</x:v>
      </x:c>
      <x:c r="N88" s="46" t="n">
        <x:v>0.05333817126269957</x:v>
      </x:c>
      <x:c r="O88" s="48" t="str">
        <x:v>B</x:v>
      </x:c>
      <x:c r="P88" s="46" t="n">
        <x:v>0.2358490566037736</x:v>
      </x:c>
      <x:c r="Q88" s="45" t="n">
        <x:v>1</x:v>
      </x:c>
    </x:row>
    <x:row r="89">
      <x:c r="A89" s="45" t="n">
        <x:v>88</x:v>
      </x:c>
      <x:c r="B89" s="45" t="n">
        <x:v>134</x:v>
      </x:c>
      <x:c r="C89" s="45" t="n">
        <x:v>0</x:v>
      </x:c>
      <x:c r="D89" s="43" t="str">
        <x:v>Hirosawa (1975)</x:v>
      </x:c>
      <x:c r="E89" s="43" t="str">
        <x:v>Endo_1-5</x:v>
      </x:c>
      <x:c r="F89" s="45" t="n">
        <x:v>1</x:v>
      </x:c>
      <x:c r="G89" s="44" t="str">
        <x:v>Flexural</x:v>
      </x:c>
      <x:c r="H89" s="46" t="n">
        <x:v>0.3888888888888889</x:v>
      </x:c>
      <x:c r="I89" s="46" t="n">
        <x:v>45</x:v>
      </x:c>
      <x:c r="J89" s="46" t="n">
        <x:v>0.18938730769230772</x:v>
      </x:c>
      <x:c r="K89" s="46" t="n">
        <x:v>0.1821953846153846</x:v>
      </x:c>
      <x:c r="L89" s="46" t="n">
        <x:v>0.11174884615384614</x:v>
      </x:c>
      <x:c r="M89" s="46" t="n">
        <x:v>0.2440162011993599</x:v>
      </x:c>
      <x:c r="N89" s="46" t="n">
        <x:v>0.0665158371040724</x:v>
      </x:c>
      <x:c r="O89" s="48" t="str">
        <x:v>B</x:v>
      </x:c>
      <x:c r="P89" s="46" t="n">
        <x:v>0.29411764705882354</x:v>
      </x:c>
      <x:c r="Q89" s="45" t="n">
        <x:v>1</x:v>
      </x:c>
    </x:row>
    <x:row r="90">
      <x:c r="A90" s="45" t="n">
        <x:v>89</x:v>
      </x:c>
      <x:c r="B90" s="45" t="n">
        <x:v>135</x:v>
      </x:c>
      <x:c r="C90" s="45" t="n">
        <x:v>0</x:v>
      </x:c>
      <x:c r="D90" s="43" t="str">
        <x:v>Hirosawa (1975)</x:v>
      </x:c>
      <x:c r="E90" s="43" t="str">
        <x:v>Hirosawa_1-1</x:v>
      </x:c>
      <x:c r="F90" s="45" t="n">
        <x:v>1</x:v>
      </x:c>
      <x:c r="G90" s="44" t="str">
        <x:v>Flexural</x:v>
      </x:c>
      <x:c r="H90" s="46" t="n">
        <x:v>1.1666666666666667</x:v>
      </x:c>
      <x:c r="I90" s="46" t="n">
        <x:v>20</x:v>
      </x:c>
      <x:c r="J90" s="46" t="n">
        <x:v>0.028676595744680847</x:v>
      </x:c>
      <x:c r="K90" s="46" t="n">
        <x:v>0.026182978723404252</x:v>
      </x:c>
      <x:c r="L90" s="46" t="n">
        <x:v>0.22290936170212766</x:v>
      </x:c>
      <x:c r="M90" s="46" t="n">
        <x:v>0.007677250336610835</x:v>
      </x:c>
      <x:c r="N90" s="46" t="n">
        <x:v>0</x:v>
      </x:c>
      <x:c r="O90" s="48" t="str">
        <x:v>B</x:v>
      </x:c>
      <x:c r="P90" s="46" t="n">
        <x:v>0.3125</x:v>
      </x:c>
      <x:c r="Q90" s="45" t="n">
        <x:v>1</x:v>
      </x:c>
    </x:row>
    <x:row r="91">
      <x:c r="A91" s="45" t="n">
        <x:v>90</x:v>
      </x:c>
      <x:c r="B91" s="45" t="n">
        <x:v>136</x:v>
      </x:c>
      <x:c r="C91" s="45" t="n">
        <x:v>0</x:v>
      </x:c>
      <x:c r="D91" s="43" t="str">
        <x:v>Hirosawa (1975)</x:v>
      </x:c>
      <x:c r="E91" s="43" t="str">
        <x:v>Hirosawa_1-2</x:v>
      </x:c>
      <x:c r="F91" s="45" t="n">
        <x:v>1</x:v>
      </x:c>
      <x:c r="G91" s="44" t="str">
        <x:v>Flexural</x:v>
      </x:c>
      <x:c r="H91" s="46" t="n">
        <x:v>1.1666666666666667</x:v>
      </x:c>
      <x:c r="I91" s="46" t="n">
        <x:v>20</x:v>
      </x:c>
      <x:c r="J91" s="46" t="n">
        <x:v>0.024867158671586714</x:v>
      </x:c>
      <x:c r="K91" s="46" t="n">
        <x:v>0.022704797047970477</x:v>
      </x:c>
      <x:c r="L91" s="46" t="n">
        <x:v>0.19329778597785977</x:v>
      </x:c>
      <x:c r="M91" s="46" t="n">
        <x:v>0.006657394203334118</x:v>
      </x:c>
      <x:c r="N91" s="46" t="n">
        <x:v>0.03616236162361623</x:v>
      </x:c>
      <x:c r="O91" s="48" t="str">
        <x:v>B</x:v>
      </x:c>
      <x:c r="P91" s="46" t="n">
        <x:v>0.3125</x:v>
      </x:c>
      <x:c r="Q91" s="45" t="n">
        <x:v>1</x:v>
      </x:c>
    </x:row>
    <x:row r="92">
      <x:c r="A92" s="45" t="n">
        <x:v>91</x:v>
      </x:c>
      <x:c r="B92" s="45" t="n">
        <x:v>137</x:v>
      </x:c>
      <x:c r="C92" s="45" t="n">
        <x:v>0</x:v>
      </x:c>
      <x:c r="D92" s="43" t="str">
        <x:v>Hirosawa (1975)</x:v>
      </x:c>
      <x:c r="E92" s="43" t="str">
        <x:v>Hirosawa_1-3</x:v>
      </x:c>
      <x:c r="F92" s="45" t="n">
        <x:v>1</x:v>
      </x:c>
      <x:c r="G92" s="44" t="str">
        <x:v>Flexural</x:v>
      </x:c>
      <x:c r="H92" s="46" t="n">
        <x:v>1.1666666666666667</x:v>
      </x:c>
      <x:c r="I92" s="46" t="n">
        <x:v>20</x:v>
      </x:c>
      <x:c r="J92" s="46" t="n">
        <x:v>0.025052044609665428</x:v>
      </x:c>
      <x:c r="K92" s="46" t="n">
        <x:v>0.02287360594795539</x:v>
      </x:c>
      <x:c r="L92" s="46" t="n">
        <x:v>0.1947349442379182</x:v>
      </x:c>
      <x:c r="M92" s="46" t="n">
        <x:v>0.006706891558005748</x:v>
      </x:c>
      <x:c r="N92" s="46" t="n">
        <x:v>0.07286245353159852</x:v>
      </x:c>
      <x:c r="O92" s="48" t="str">
        <x:v>B</x:v>
      </x:c>
      <x:c r="P92" s="46" t="n">
        <x:v>0.3125</x:v>
      </x:c>
      <x:c r="Q92" s="45" t="n">
        <x:v>1</x:v>
      </x:c>
    </x:row>
    <x:row r="93">
      <x:c r="A93" s="45" t="n">
        <x:v>92</x:v>
      </x:c>
      <x:c r="B93" s="45" t="n">
        <x:v>138</x:v>
      </x:c>
      <x:c r="C93" s="45" t="n">
        <x:v>0</x:v>
      </x:c>
      <x:c r="D93" s="43" t="str">
        <x:v>Hirosawa (1975)</x:v>
      </x:c>
      <x:c r="E93" s="43" t="str">
        <x:v>Hirosawa_1-4</x:v>
      </x:c>
      <x:c r="F93" s="45" t="n">
        <x:v>1</x:v>
      </x:c>
      <x:c r="G93" s="44" t="str">
        <x:v>Flexural</x:v>
      </x:c>
      <x:c r="H93" s="46" t="n">
        <x:v>1.1666666666666667</x:v>
      </x:c>
      <x:c r="I93" s="46" t="n">
        <x:v>20</x:v>
      </x:c>
      <x:c r="J93" s="46" t="n">
        <x:v>0.026223579766536963</x:v>
      </x:c>
      <x:c r="K93" s="46" t="n">
        <x:v>0.023941634241245135</x:v>
      </x:c>
      <x:c r="L93" s="46" t="n">
        <x:v>0.20382762645914396</x:v>
      </x:c>
      <x:c r="M93" s="46" t="n">
        <x:v>0.007020053809741425</x:v>
      </x:c>
      <x:c r="N93" s="46" t="n">
        <x:v>0.15252918287937742</x:v>
      </x:c>
      <x:c r="O93" s="48" t="str">
        <x:v>B</x:v>
      </x:c>
      <x:c r="P93" s="46" t="n">
        <x:v>0.3125</x:v>
      </x:c>
      <x:c r="Q93" s="45" t="n">
        <x:v>1</x:v>
      </x:c>
    </x:row>
    <x:row r="94">
      <x:c r="A94" s="45" t="n">
        <x:v>93</x:v>
      </x:c>
      <x:c r="B94" s="45" t="n">
        <x:v>139</x:v>
      </x:c>
      <x:c r="C94" s="45" t="n">
        <x:v>0</x:v>
      </x:c>
      <x:c r="D94" s="43" t="str">
        <x:v>Hirosawa (1975)</x:v>
      </x:c>
      <x:c r="E94" s="43" t="str">
        <x:v>Hirosawa_2-1</x:v>
      </x:c>
      <x:c r="F94" s="45" t="n">
        <x:v>1</x:v>
      </x:c>
      <x:c r="G94" s="44" t="str">
        <x:v>Flexural</x:v>
      </x:c>
      <x:c r="H94" s="46" t="n">
        <x:v>1.1666666666666667</x:v>
      </x:c>
      <x:c r="I94" s="46" t="n">
        <x:v>20</x:v>
      </x:c>
      <x:c r="J94" s="46" t="n">
        <x:v>0.03376774193548387</x:v>
      </x:c>
      <x:c r="K94" s="46" t="n">
        <x:v>0.03376774193548387</x:v>
      </x:c>
      <x:c r="L94" s="46" t="n">
        <x:v>0.2881741935483871</x:v>
      </x:c>
      <x:c r="M94" s="46" t="n">
        <x:v>0.008663566682747953</x:v>
      </x:c>
      <x:c r="N94" s="46" t="n">
        <x:v>0</x:v>
      </x:c>
      <x:c r="O94" s="48" t="str">
        <x:v>B</x:v>
      </x:c>
      <x:c r="P94" s="46" t="n">
        <x:v>0.3125</x:v>
      </x:c>
      <x:c r="Q94" s="45" t="n">
        <x:v>2</x:v>
      </x:c>
    </x:row>
    <x:row r="95">
      <x:c r="A95" s="45" t="n">
        <x:v>94</x:v>
      </x:c>
      <x:c r="B95" s="45" t="n">
        <x:v>140</x:v>
      </x:c>
      <x:c r="C95" s="45" t="n">
        <x:v>0</x:v>
      </x:c>
      <x:c r="D95" s="43" t="str">
        <x:v>Hirosawa (1975)</x:v>
      </x:c>
      <x:c r="E95" s="43" t="str">
        <x:v>Hirosawa_2-2</x:v>
      </x:c>
      <x:c r="F95" s="45" t="n">
        <x:v>1</x:v>
      </x:c>
      <x:c r="G95" s="44" t="str">
        <x:v>Flexural</x:v>
      </x:c>
      <x:c r="H95" s="46" t="n">
        <x:v>1.1666666666666667</x:v>
      </x:c>
      <x:c r="I95" s="46" t="n">
        <x:v>20</x:v>
      </x:c>
      <x:c r="J95" s="46" t="n">
        <x:v>0.03376774193548387</x:v>
      </x:c>
      <x:c r="K95" s="46" t="n">
        <x:v>0.03376774193548387</x:v>
      </x:c>
      <x:c r="L95" s="46" t="n">
        <x:v>0.2881741935483871</x:v>
      </x:c>
      <x:c r="M95" s="46" t="n">
        <x:v>0.008663566682747953</x:v>
      </x:c>
      <x:c r="N95" s="46" t="n">
        <x:v>0</x:v>
      </x:c>
      <x:c r="O95" s="48" t="str">
        <x:v>B</x:v>
      </x:c>
      <x:c r="P95" s="46" t="n">
        <x:v>0.3125</x:v>
      </x:c>
      <x:c r="Q95" s="45" t="n">
        <x:v>2</x:v>
      </x:c>
    </x:row>
    <x:row r="96">
      <x:c r="A96" s="45" t="n">
        <x:v>95</x:v>
      </x:c>
      <x:c r="B96" s="45" t="n">
        <x:v>141</x:v>
      </x:c>
      <x:c r="C96" s="45" t="n">
        <x:v>0</x:v>
      </x:c>
      <x:c r="D96" s="43" t="str">
        <x:v>Hirosawa (1975)</x:v>
      </x:c>
      <x:c r="E96" s="43" t="str">
        <x:v>Hirosawa_2-3</x:v>
      </x:c>
      <x:c r="F96" s="45" t="n">
        <x:v>1</x:v>
      </x:c>
      <x:c r="G96" s="44" t="str">
        <x:v>Flexural</x:v>
      </x:c>
      <x:c r="H96" s="46" t="n">
        <x:v>1.1666666666666667</x:v>
      </x:c>
      <x:c r="I96" s="46" t="n">
        <x:v>20</x:v>
      </x:c>
      <x:c r="J96" s="46" t="n">
        <x:v>0.02253846153846154</x:v>
      </x:c>
      <x:c r="K96" s="46" t="n">
        <x:v>0.020578595317725754</x:v>
      </x:c>
      <x:c r="L96" s="46" t="n">
        <x:v>0.17589431438127093</x:v>
      </x:c>
      <x:c r="M96" s="46" t="n">
        <x:v>0.006033959294660689</x:v>
      </x:c>
      <x:c r="N96" s="46" t="n">
        <x:v>0.06555183946488295</x:v>
      </x:c>
      <x:c r="O96" s="48" t="str">
        <x:v>B</x:v>
      </x:c>
      <x:c r="P96" s="46" t="n">
        <x:v>0.3125</x:v>
      </x:c>
      <x:c r="Q96" s="45" t="n">
        <x:v>1</x:v>
      </x:c>
    </x:row>
    <x:row r="97">
      <x:c r="A97" s="45" t="n">
        <x:v>96</x:v>
      </x:c>
      <x:c r="B97" s="45" t="n">
        <x:v>146</x:v>
      </x:c>
      <x:c r="C97" s="45" t="n">
        <x:v>0</x:v>
      </x:c>
      <x:c r="D97" s="43" t="str">
        <x:v>Hirosawa (1975)</x:v>
      </x:c>
      <x:c r="E97" s="43" t="str">
        <x:v>Kokusho_1-1</x:v>
      </x:c>
      <x:c r="F97" s="45" t="n">
        <x:v>3</x:v>
      </x:c>
      <x:c r="G97" s="44" t="str">
        <x:v>Flex-Shear</x:v>
      </x:c>
      <x:c r="H97" s="46" t="n">
        <x:v>0.5</x:v>
      </x:c>
      <x:c r="I97" s="46" t="n">
        <x:v>14.333333333333334</x:v>
      </x:c>
      <x:c r="J97" s="46" t="n">
        <x:v>0</x:v>
      </x:c>
      <x:c r="K97" s="46" t="n">
        <x:v>0</x:v>
      </x:c>
      <x:c r="L97" s="46" t="n">
        <x:v>0.116025</x:v>
      </x:c>
      <x:c r="M97" s="46" t="n">
        <x:v>0</x:v>
      </x:c>
      <x:c r="N97" s="46" t="n">
        <x:v>0</x:v>
      </x:c>
      <x:c r="O97" s="48" t="str">
        <x:v>F</x:v>
      </x:c>
      <x:c r="P97" s="46" t="n">
        <x:v>0.22388059701492538</x:v>
      </x:c>
      <x:c r="Q97" s="45" t="n">
        <x:v>1</x:v>
      </x:c>
    </x:row>
    <x:row r="98">
      <x:c r="A98" s="45" t="n">
        <x:v>97</x:v>
      </x:c>
      <x:c r="B98" s="45" t="n">
        <x:v>147</x:v>
      </x:c>
      <x:c r="C98" s="45" t="n">
        <x:v>0</x:v>
      </x:c>
      <x:c r="D98" s="43" t="str">
        <x:v>Hirosawa (1975)</x:v>
      </x:c>
      <x:c r="E98" s="43" t="str">
        <x:v>Kokusho_1-2</x:v>
      </x:c>
      <x:c r="F98" s="45" t="n">
        <x:v>3</x:v>
      </x:c>
      <x:c r="G98" s="44" t="str">
        <x:v>Flex-Shear</x:v>
      </x:c>
      <x:c r="H98" s="46" t="n">
        <x:v>0.5</x:v>
      </x:c>
      <x:c r="I98" s="46" t="n">
        <x:v>14.333333333333334</x:v>
      </x:c>
      <x:c r="J98" s="46" t="n">
        <x:v>0.06142500000000001</x:v>
      </x:c>
      <x:c r="K98" s="46" t="n">
        <x:v>0.06995625000000001</x:v>
      </x:c>
      <x:c r="L98" s="46" t="n">
        <x:v>0.116025</x:v>
      </x:c>
      <x:c r="M98" s="46" t="n">
        <x:v>0.01167363470196407</x:v>
      </x:c>
      <x:c r="N98" s="46" t="n">
        <x:v>0</x:v>
      </x:c>
      <x:c r="O98" s="48" t="str">
        <x:v>F</x:v>
      </x:c>
      <x:c r="P98" s="46" t="n">
        <x:v>0.22388059701492538</x:v>
      </x:c>
      <x:c r="Q98" s="45" t="n">
        <x:v>1</x:v>
      </x:c>
    </x:row>
    <x:row r="99">
      <x:c r="A99" s="45" t="n">
        <x:v>98</x:v>
      </x:c>
      <x:c r="B99" s="45" t="n">
        <x:v>148</x:v>
      </x:c>
      <x:c r="C99" s="45" t="n">
        <x:v>0</x:v>
      </x:c>
      <x:c r="D99" s="43" t="str">
        <x:v>Hirosawa (1975)</x:v>
      </x:c>
      <x:c r="E99" s="43" t="str">
        <x:v>Kokusho_1-3</x:v>
      </x:c>
      <x:c r="F99" s="45" t="n">
        <x:v>3</x:v>
      </x:c>
      <x:c r="G99" s="44" t="str">
        <x:v>Flex-Shear</x:v>
      </x:c>
      <x:c r="H99" s="46" t="n">
        <x:v>0.5</x:v>
      </x:c>
      <x:c r="I99" s="46" t="n">
        <x:v>14.333333333333334</x:v>
      </x:c>
      <x:c r="J99" s="46" t="n">
        <x:v>0.08141538461538463</x:v>
      </x:c>
      <x:c r="K99" s="46" t="n">
        <x:v>0.09272307692307694</x:v>
      </x:c>
      <x:c r="L99" s="46" t="n">
        <x:v>0.15378461538461538</x:v>
      </x:c>
      <x:c r="M99" s="46" t="n">
        <x:v>0.01547274658721865</x:v>
      </x:c>
      <x:c r="N99" s="46" t="n">
        <x:v>0</x:v>
      </x:c>
      <x:c r="O99" s="48" t="str">
        <x:v>F</x:v>
      </x:c>
      <x:c r="P99" s="46" t="n">
        <x:v>0.22388059701492538</x:v>
      </x:c>
      <x:c r="Q99" s="45" t="n">
        <x:v>2</x:v>
      </x:c>
    </x:row>
    <x:row r="100">
      <x:c r="A100" s="45" t="n">
        <x:v>99</x:v>
      </x:c>
      <x:c r="B100" s="45" t="n">
        <x:v>149</x:v>
      </x:c>
      <x:c r="C100" s="45" t="n">
        <x:v>0</x:v>
      </x:c>
      <x:c r="D100" s="43" t="str">
        <x:v>Hirosawa (1975)</x:v>
      </x:c>
      <x:c r="E100" s="43" t="str">
        <x:v>Kokusho_1-4</x:v>
      </x:c>
      <x:c r="F100" s="45" t="n">
        <x:v>3</x:v>
      </x:c>
      <x:c r="G100" s="44" t="str">
        <x:v>Flex-Shear</x:v>
      </x:c>
      <x:c r="H100" s="46" t="n">
        <x:v>0.5</x:v>
      </x:c>
      <x:c r="I100" s="46" t="n">
        <x:v>14.333333333333334</x:v>
      </x:c>
      <x:c r="J100" s="46" t="n">
        <x:v>0.07294911242603551</x:v>
      </x:c>
      <x:c r="K100" s="46" t="n">
        <x:v>0.08280710059171598</x:v>
      </x:c>
      <x:c r="L100" s="46" t="n">
        <x:v>0.15378461538461538</x:v>
      </x:c>
      <x:c r="M100" s="46" t="n">
        <x:v>0.013489061127318824</x:v>
      </x:c>
      <x:c r="N100" s="46" t="n">
        <x:v>0</x:v>
      </x:c>
      <x:c r="O100" s="48" t="str">
        <x:v>F</x:v>
      </x:c>
      <x:c r="P100" s="46" t="n">
        <x:v>0.22388059701492538</x:v>
      </x:c>
      <x:c r="Q100" s="45" t="n">
        <x:v>1</x:v>
      </x:c>
    </x:row>
    <x:row r="101">
      <x:c r="A101" s="45" t="n">
        <x:v>100</x:v>
      </x:c>
      <x:c r="B101" s="45" t="n">
        <x:v>150</x:v>
      </x:c>
      <x:c r="C101" s="45" t="n">
        <x:v>0</x:v>
      </x:c>
      <x:c r="D101" s="43" t="str">
        <x:v>Hirosawa (1975)</x:v>
      </x:c>
      <x:c r="E101" s="43" t="str">
        <x:v>Kokusho_1-5</x:v>
      </x:c>
      <x:c r="F101" s="45" t="n">
        <x:v>3</x:v>
      </x:c>
      <x:c r="G101" s="44" t="str">
        <x:v>Flex-Shear</x:v>
      </x:c>
      <x:c r="H101" s="46" t="n">
        <x:v>0.5</x:v>
      </x:c>
      <x:c r="I101" s="46" t="n">
        <x:v>14.333333333333334</x:v>
      </x:c>
      <x:c r="J101" s="46" t="n">
        <x:v>0.08141538461538463</x:v>
      </x:c>
      <x:c r="K101" s="46" t="n">
        <x:v>0.09272307692307694</x:v>
      </x:c>
      <x:c r="L101" s="46" t="n">
        <x:v>0.15378461538461538</x:v>
      </x:c>
      <x:c r="M101" s="46" t="n">
        <x:v>0.01547274658721865</x:v>
      </x:c>
      <x:c r="N101" s="46" t="n">
        <x:v>0</x:v>
      </x:c>
      <x:c r="O101" s="48" t="str">
        <x:v>F</x:v>
      </x:c>
      <x:c r="P101" s="46" t="n">
        <x:v>0.22388059701492538</x:v>
      </x:c>
      <x:c r="Q101" s="45" t="n">
        <x:v>2</x:v>
      </x:c>
    </x:row>
    <x:row r="102">
      <x:c r="A102" s="45" t="n">
        <x:v>101</x:v>
      </x:c>
      <x:c r="B102" s="45" t="n">
        <x:v>151</x:v>
      </x:c>
      <x:c r="C102" s="45" t="n">
        <x:v>0</x:v>
      </x:c>
      <x:c r="D102" s="43" t="str">
        <x:v>Hirosawa (1975)</x:v>
      </x:c>
      <x:c r="E102" s="43" t="str">
        <x:v>Kokusho_1-6</x:v>
      </x:c>
      <x:c r="F102" s="45" t="n">
        <x:v>3</x:v>
      </x:c>
      <x:c r="G102" s="44" t="str">
        <x:v>Flex-Shear</x:v>
      </x:c>
      <x:c r="H102" s="46" t="n">
        <x:v>0.5</x:v>
      </x:c>
      <x:c r="I102" s="46" t="n">
        <x:v>14.333333333333334</x:v>
      </x:c>
      <x:c r="J102" s="46" t="n">
        <x:v>0.08546086956521738</x:v>
      </x:c>
      <x:c r="K102" s="46" t="n">
        <x:v>0.0973304347826087</x:v>
      </x:c>
      <x:c r="L102" s="46" t="n">
        <x:v>0.16142608695652172</x:v>
      </x:c>
      <x:c r="M102" s="46" t="n">
        <x:v>0.016241578715776094</x:v>
      </x:c>
      <x:c r="N102" s="46" t="n">
        <x:v>0</x:v>
      </x:c>
      <x:c r="O102" s="48" t="str">
        <x:v>F</x:v>
      </x:c>
      <x:c r="P102" s="46" t="n">
        <x:v>0.22388059701492538</x:v>
      </x:c>
      <x:c r="Q102" s="45" t="n">
        <x:v>2</x:v>
      </x:c>
    </x:row>
    <x:row r="103">
      <x:c r="A103" s="45" t="n">
        <x:v>102</x:v>
      </x:c>
      <x:c r="B103" s="45" t="n">
        <x:v>152</x:v>
      </x:c>
      <x:c r="C103" s="45" t="n">
        <x:v>0</x:v>
      </x:c>
      <x:c r="D103" s="43" t="str">
        <x:v>Hirosawa (1975)</x:v>
      </x:c>
      <x:c r="E103" s="43" t="str">
        <x:v>Kokusho_1-7</x:v>
      </x:c>
      <x:c r="F103" s="45" t="n">
        <x:v>3</x:v>
      </x:c>
      <x:c r="G103" s="44" t="str">
        <x:v>Flex-Shear</x:v>
      </x:c>
      <x:c r="H103" s="46" t="n">
        <x:v>0.5</x:v>
      </x:c>
      <x:c r="I103" s="46" t="n">
        <x:v>14.333333333333334</x:v>
      </x:c>
      <x:c r="J103" s="46" t="n">
        <x:v>0.08546086956521738</x:v>
      </x:c>
      <x:c r="K103" s="46" t="n">
        <x:v>0.0973304347826087</x:v>
      </x:c>
      <x:c r="L103" s="46" t="n">
        <x:v>0.16142608695652172</x:v>
      </x:c>
      <x:c r="M103" s="46" t="n">
        <x:v>0.016241578715776094</x:v>
      </x:c>
      <x:c r="N103" s="46" t="n">
        <x:v>0</x:v>
      </x:c>
      <x:c r="O103" s="48" t="str">
        <x:v>F</x:v>
      </x:c>
      <x:c r="P103" s="46" t="n">
        <x:v>0.22388059701492538</x:v>
      </x:c>
      <x:c r="Q103" s="45" t="n">
        <x:v>2</x:v>
      </x:c>
    </x:row>
    <x:row r="104">
      <x:c r="A104" s="45" t="n">
        <x:v>103</x:v>
      </x:c>
      <x:c r="B104" s="45" t="n">
        <x:v>153</x:v>
      </x:c>
      <x:c r="C104" s="45" t="n">
        <x:v>0</x:v>
      </x:c>
      <x:c r="D104" s="43" t="str">
        <x:v>Hirosawa (1975)</x:v>
      </x:c>
      <x:c r="E104" s="43" t="str">
        <x:v>Kokusho_2-1</x:v>
      </x:c>
      <x:c r="F104" s="45" t="n">
        <x:v>3</x:v>
      </x:c>
      <x:c r="G104" s="44" t="str">
        <x:v>Flex-Shear</x:v>
      </x:c>
      <x:c r="H104" s="46" t="n">
        <x:v>0.5</x:v>
      </x:c>
      <x:c r="I104" s="46" t="n">
        <x:v>17.2</x:v>
      </x:c>
      <x:c r="J104" s="46" t="n">
        <x:v>0.06519773584905661</x:v>
      </x:c>
      <x:c r="K104" s="46" t="n">
        <x:v>0.07429509433962264</x:v>
      </x:c>
      <x:c r="L104" s="46" t="n">
        <x:v>0.10765207547169811</x:v>
      </x:c>
      <x:c r="M104" s="46" t="n">
        <x:v>0.010731260808051452</x:v>
      </x:c>
      <x:c r="N104" s="46" t="n">
        <x:v>0</x:v>
      </x:c>
      <x:c r="O104" s="48" t="str">
        <x:v>F</x:v>
      </x:c>
      <x:c r="P104" s="46" t="n">
        <x:v>0.24233983286908078</x:v>
      </x:c>
      <x:c r="Q104" s="45" t="n">
        <x:v>1</x:v>
      </x:c>
    </x:row>
    <x:row r="105">
      <x:c r="A105" s="45" t="n">
        <x:v>104</x:v>
      </x:c>
      <x:c r="B105" s="45" t="n">
        <x:v>154</x:v>
      </x:c>
      <x:c r="C105" s="45" t="n">
        <x:v>0</x:v>
      </x:c>
      <x:c r="D105" s="43" t="str">
        <x:v>Hirosawa (1975)</x:v>
      </x:c>
      <x:c r="E105" s="43" t="str">
        <x:v>Kokusho_2-2</x:v>
      </x:c>
      <x:c r="F105" s="45" t="n">
        <x:v>3</x:v>
      </x:c>
      <x:c r="G105" s="44" t="str">
        <x:v>Flex-Shear</x:v>
      </x:c>
      <x:c r="H105" s="46" t="n">
        <x:v>0.5</x:v>
      </x:c>
      <x:c r="I105" s="46" t="n">
        <x:v>18.695652173913043</x:v>
      </x:c>
      <x:c r="J105" s="46" t="n">
        <x:v>0.10550055865921788</x:v>
      </x:c>
      <x:c r="K105" s="46" t="n">
        <x:v>0.12121340782122908</x:v>
      </x:c>
      <x:c r="L105" s="46" t="n">
        <x:v>0.1593731843575419</x:v>
      </x:c>
      <x:c r="M105" s="46" t="n">
        <x:v>0.015887062090132038</x:v>
      </x:c>
      <x:c r="N105" s="46" t="n">
        <x:v>0</x:v>
      </x:c>
      <x:c r="O105" s="48" t="str">
        <x:v>F</x:v>
      </x:c>
      <x:c r="P105" s="46" t="n">
        <x:v>0.252760023242301</x:v>
      </x:c>
      <x:c r="Q105" s="45" t="n">
        <x:v>1</x:v>
      </x:c>
    </x:row>
    <x:row r="106">
      <x:c r="A106" s="45" t="n">
        <x:v>105</x:v>
      </x:c>
      <x:c r="B106" s="45" t="n">
        <x:v>155</x:v>
      </x:c>
      <x:c r="C106" s="45" t="n">
        <x:v>0</x:v>
      </x:c>
      <x:c r="D106" s="43" t="str">
        <x:v>Hirosawa (1975)</x:v>
      </x:c>
      <x:c r="E106" s="43" t="str">
        <x:v>Kokusho_2-3</x:v>
      </x:c>
      <x:c r="F106" s="45" t="n">
        <x:v>3</x:v>
      </x:c>
      <x:c r="G106" s="44" t="str">
        <x:v>Flex-Shear</x:v>
      </x:c>
      <x:c r="H106" s="46" t="n">
        <x:v>0.5</x:v>
      </x:c>
      <x:c r="I106" s="46" t="n">
        <x:v>17.2</x:v>
      </x:c>
      <x:c r="J106" s="46" t="n">
        <x:v>0.07949497206703911</x:v>
      </x:c>
      <x:c r="K106" s="46" t="n">
        <x:v>0.09033519553072626</x:v>
      </x:c>
      <x:c r="L106" s="46" t="n">
        <x:v>0.1593731843575419</x:v>
      </x:c>
      <x:c r="M106" s="46" t="n">
        <x:v>0.012787147535959931</x:v>
      </x:c>
      <x:c r="N106" s="46" t="n">
        <x:v>0</x:v>
      </x:c>
      <x:c r="O106" s="48" t="str">
        <x:v>F</x:v>
      </x:c>
      <x:c r="P106" s="46" t="n">
        <x:v>0.24233983286908078</x:v>
      </x:c>
      <x:c r="Q106" s="45" t="n">
        <x:v>1</x:v>
      </x:c>
    </x:row>
    <x:row r="107">
      <x:c r="A107" s="45" t="n">
        <x:v>106</x:v>
      </x:c>
      <x:c r="B107" s="45" t="n">
        <x:v>156</x:v>
      </x:c>
      <x:c r="C107" s="45" t="n">
        <x:v>0</x:v>
      </x:c>
      <x:c r="D107" s="43" t="str">
        <x:v>Hirosawa (1975)</x:v>
      </x:c>
      <x:c r="E107" s="43" t="str">
        <x:v>Kokusho_2-4</x:v>
      </x:c>
      <x:c r="F107" s="45" t="n">
        <x:v>3</x:v>
      </x:c>
      <x:c r="G107" s="44" t="str">
        <x:v>Flex-Shear</x:v>
      </x:c>
      <x:c r="H107" s="46" t="n">
        <x:v>0.5</x:v>
      </x:c>
      <x:c r="I107" s="46" t="n">
        <x:v>21.5</x:v>
      </x:c>
      <x:c r="J107" s="46" t="n">
        <x:v>0.11549999999999998</x:v>
      </x:c>
      <x:c r="K107" s="46" t="n">
        <x:v>0.1323</x:v>
      </x:c>
      <x:c r="L107" s="46" t="n">
        <x:v>0.18524545454545455</x:v>
      </x:c>
      <x:c r="M107" s="46" t="n">
        <x:v>0.014862983174914465</x:v>
      </x:c>
      <x:c r="N107" s="46" t="n">
        <x:v>0</x:v>
      </x:c>
      <x:c r="O107" s="48" t="str">
        <x:v>F</x:v>
      </x:c>
      <x:c r="P107" s="46" t="n">
        <x:v>0.2701863354037267</x:v>
      </x:c>
      <x:c r="Q107" s="45" t="n">
        <x:v>1</x:v>
      </x:c>
    </x:row>
    <x:row r="108">
      <x:c r="A108" s="45" t="n">
        <x:v>107</x:v>
      </x:c>
      <x:c r="B108" s="45" t="n">
        <x:v>157</x:v>
      </x:c>
      <x:c r="C108" s="45" t="n">
        <x:v>0</x:v>
      </x:c>
      <x:c r="D108" s="43" t="str">
        <x:v>Hirosawa (1975)</x:v>
      </x:c>
      <x:c r="E108" s="43" t="str">
        <x:v>Kokusho_2-5</x:v>
      </x:c>
      <x:c r="F108" s="45" t="n">
        <x:v>3</x:v>
      </x:c>
      <x:c r="G108" s="44" t="str">
        <x:v>Flex-Shear</x:v>
      </x:c>
      <x:c r="H108" s="46" t="n">
        <x:v>0.5</x:v>
      </x:c>
      <x:c r="I108" s="46" t="n">
        <x:v>18.695652173913043</x:v>
      </x:c>
      <x:c r="J108" s="46" t="n">
        <x:v>0.11375879396984924</x:v>
      </x:c>
      <x:c r="K108" s="46" t="n">
        <x:v>0.11863417085427136</x:v>
      </x:c>
      <x:c r="L108" s="46" t="n">
        <x:v>0.14335577889447237</x:v>
      </x:c>
      <x:c r="M108" s="46" t="n">
        <x:v>0.011502007080084562</x:v>
      </x:c>
      <x:c r="N108" s="46" t="n">
        <x:v>0</x:v>
      </x:c>
      <x:c r="O108" s="48" t="str">
        <x:v>F</x:v>
      </x:c>
      <x:c r="P108" s="46" t="n">
        <x:v>0.252760023242301</x:v>
      </x:c>
      <x:c r="Q108" s="45" t="n">
        <x:v>1</x:v>
      </x:c>
    </x:row>
    <x:row r="109">
      <x:c r="A109" s="45" t="n">
        <x:v>108</x:v>
      </x:c>
      <x:c r="B109" s="45" t="n">
        <x:v>158</x:v>
      </x:c>
      <x:c r="C109" s="45" t="n">
        <x:v>0</x:v>
      </x:c>
      <x:c r="D109" s="43" t="str">
        <x:v>Hirosawa (1975)</x:v>
      </x:c>
      <x:c r="E109" s="43" t="str">
        <x:v>Kokusho_2-6</x:v>
      </x:c>
      <x:c r="F109" s="45" t="n">
        <x:v>3</x:v>
      </x:c>
      <x:c r="G109" s="44" t="str">
        <x:v>Flex-Shear</x:v>
      </x:c>
      <x:c r="H109" s="46" t="n">
        <x:v>0.5</x:v>
      </x:c>
      <x:c r="I109" s="46" t="n">
        <x:v>17.916666666666668</x:v>
      </x:c>
      <x:c r="J109" s="46" t="n">
        <x:v>0.11649354838709675</x:v>
      </x:c>
      <x:c r="K109" s="46" t="n">
        <x:v>0.12170967741935482</x:v>
      </x:c>
      <x:c r="L109" s="46" t="n">
        <x:v>0.15337526881720429</x:v>
      </x:c>
      <x:c r="M109" s="46" t="n">
        <x:v>0.01230591080073563</x:v>
      </x:c>
      <x:c r="N109" s="46" t="n">
        <x:v>0</x:v>
      </x:c>
      <x:c r="O109" s="48" t="str">
        <x:v>F</x:v>
      </x:c>
      <x:c r="P109" s="46" t="n">
        <x:v>0.24744027303754265</x:v>
      </x:c>
      <x:c r="Q109" s="45" t="n">
        <x:v>1</x:v>
      </x:c>
    </x:row>
    <x:row r="110">
      <x:c r="A110" s="45" t="n">
        <x:v>109</x:v>
      </x:c>
      <x:c r="B110" s="45" t="n">
        <x:v>159</x:v>
      </x:c>
      <x:c r="C110" s="45" t="n">
        <x:v>0</x:v>
      </x:c>
      <x:c r="D110" s="43" t="str">
        <x:v>Hirosawa (1975)</x:v>
      </x:c>
      <x:c r="E110" s="43" t="str">
        <x:v>Kokusho_3-1</x:v>
      </x:c>
      <x:c r="F110" s="45" t="n">
        <x:v>3</x:v>
      </x:c>
      <x:c r="G110" s="44" t="str">
        <x:v>Flex-Shear</x:v>
      </x:c>
      <x:c r="H110" s="46" t="n">
        <x:v>0.9302325581395349</x:v>
      </x:c>
      <x:c r="I110" s="46" t="n">
        <x:v>18.695652173913043</x:v>
      </x:c>
      <x:c r="J110" s="46" t="n">
        <x:v>0</x:v>
      </x:c>
      <x:c r="K110" s="46" t="n">
        <x:v>0</x:v>
      </x:c>
      <x:c r="L110" s="46" t="n">
        <x:v>0.43566197183098593</x:v>
      </x:c>
      <x:c r="M110" s="46" t="n">
        <x:v>0</x:v>
      </x:c>
      <x:c r="N110" s="46" t="n">
        <x:v>0</x:v>
      </x:c>
      <x:c r="O110" s="48" t="str">
        <x:v>F</x:v>
      </x:c>
      <x:c r="P110" s="46" t="n">
        <x:v>0.252760023242301</x:v>
      </x:c>
      <x:c r="Q110" s="45" t="n">
        <x:v>1</x:v>
      </x:c>
    </x:row>
    <x:row r="111">
      <x:c r="A111" s="45" t="n">
        <x:v>110</x:v>
      </x:c>
      <x:c r="B111" s="45" t="n">
        <x:v>160</x:v>
      </x:c>
      <x:c r="C111" s="45" t="n">
        <x:v>0</x:v>
      </x:c>
      <x:c r="D111" s="43" t="str">
        <x:v>Hirosawa (1975)</x:v>
      </x:c>
      <x:c r="E111" s="43" t="str">
        <x:v>Kokusho_3-2</x:v>
      </x:c>
      <x:c r="F111" s="45" t="n">
        <x:v>3</x:v>
      </x:c>
      <x:c r="G111" s="44" t="str">
        <x:v>Flex-Shear</x:v>
      </x:c>
      <x:c r="H111" s="46" t="n">
        <x:v>0.9302325581395349</x:v>
      </x:c>
      <x:c r="I111" s="46" t="n">
        <x:v>17.916666666666668</x:v>
      </x:c>
      <x:c r="J111" s="46" t="n">
        <x:v>0</x:v>
      </x:c>
      <x:c r="K111" s="46" t="n">
        <x:v>0</x:v>
      </x:c>
      <x:c r="L111" s="46" t="n">
        <x:v>0.43566197183098593</x:v>
      </x:c>
      <x:c r="M111" s="46" t="n">
        <x:v>0</x:v>
      </x:c>
      <x:c r="N111" s="46" t="n">
        <x:v>0</x:v>
      </x:c>
      <x:c r="O111" s="48" t="str">
        <x:v>F</x:v>
      </x:c>
      <x:c r="P111" s="46" t="n">
        <x:v>0.24744027303754265</x:v>
      </x:c>
      <x:c r="Q111" s="45" t="n">
        <x:v>1</x:v>
      </x:c>
    </x:row>
    <x:row r="112">
      <x:c r="A112" s="45" t="n">
        <x:v>111</x:v>
      </x:c>
      <x:c r="B112" s="45" t="n">
        <x:v>161</x:v>
      </x:c>
      <x:c r="C112" s="45" t="n">
        <x:v>0</x:v>
      </x:c>
      <x:c r="D112" s="43" t="str">
        <x:v>Hirosawa (1975)</x:v>
      </x:c>
      <x:c r="E112" s="43" t="str">
        <x:v>Kokusho_3-3</x:v>
      </x:c>
      <x:c r="F112" s="45" t="n">
        <x:v>3</x:v>
      </x:c>
      <x:c r="G112" s="44" t="str">
        <x:v>Flex-Shear</x:v>
      </x:c>
      <x:c r="H112" s="46" t="n">
        <x:v>0.9302325581395349</x:v>
      </x:c>
      <x:c r="I112" s="46" t="n">
        <x:v>15.925925925925926</x:v>
      </x:c>
      <x:c r="J112" s="46" t="n">
        <x:v>0.11318309859154932</x:v>
      </x:c>
      <x:c r="K112" s="46" t="n">
        <x:v>0.10752394366197184</x:v>
      </x:c>
      <x:c r="L112" s="46" t="n">
        <x:v>0.43566197183098593</x:v>
      </x:c>
      <x:c r="M112" s="46" t="n">
        <x:v>0.020026648691081936</x:v>
      </x:c>
      <x:c r="N112" s="46" t="n">
        <x:v>0</x:v>
      </x:c>
      <x:c r="O112" s="48" t="str">
        <x:v>F</x:v>
      </x:c>
      <x:c r="P112" s="46" t="n">
        <x:v>0.23274478330658105</x:v>
      </x:c>
      <x:c r="Q112" s="45" t="n">
        <x:v>1</x:v>
      </x:c>
    </x:row>
    <x:row r="113">
      <x:c r="A113" s="45" t="n">
        <x:v>112</x:v>
      </x:c>
      <x:c r="B113" s="45" t="n">
        <x:v>162</x:v>
      </x:c>
      <x:c r="C113" s="45" t="n">
        <x:v>0</x:v>
      </x:c>
      <x:c r="D113" s="43" t="str">
        <x:v>Hirosawa (1975)</x:v>
      </x:c>
      <x:c r="E113" s="43" t="str">
        <x:v>Kokusho_3-4</x:v>
      </x:c>
      <x:c r="F113" s="45" t="n">
        <x:v>3</x:v>
      </x:c>
      <x:c r="G113" s="44" t="str">
        <x:v>Flex-Shear</x:v>
      </x:c>
      <x:c r="H113" s="46" t="n">
        <x:v>0.9302325581395349</x:v>
      </x:c>
      <x:c r="I113" s="46" t="n">
        <x:v>17.916666666666668</x:v>
      </x:c>
      <x:c r="J113" s="46" t="n">
        <x:v>0.10248591549295774</x:v>
      </x:c>
      <x:c r="K113" s="46" t="n">
        <x:v>0.09793098591549296</x:v>
      </x:c>
      <x:c r="L113" s="46" t="n">
        <x:v>0.43566197183098593</x:v>
      </x:c>
      <x:c r="M113" s="46" t="n">
        <x:v>0.016119009922090335</x:v>
      </x:c>
      <x:c r="N113" s="46" t="n">
        <x:v>0</x:v>
      </x:c>
      <x:c r="O113" s="48" t="str">
        <x:v>F</x:v>
      </x:c>
      <x:c r="P113" s="46" t="n">
        <x:v>0.24744027303754265</x:v>
      </x:c>
      <x:c r="Q113" s="45" t="n">
        <x:v>1</x:v>
      </x:c>
    </x:row>
    <x:row r="114">
      <x:c r="A114" s="45" t="n">
        <x:v>113</x:v>
      </x:c>
      <x:c r="B114" s="45" t="n">
        <x:v>163</x:v>
      </x:c>
      <x:c r="C114" s="45" t="n">
        <x:v>0</x:v>
      </x:c>
      <x:c r="D114" s="43" t="str">
        <x:v>Hirosawa (1975)</x:v>
      </x:c>
      <x:c r="E114" s="43" t="str">
        <x:v>Kokusho_3-5</x:v>
      </x:c>
      <x:c r="F114" s="45" t="n">
        <x:v>3</x:v>
      </x:c>
      <x:c r="G114" s="44" t="str">
        <x:v>Flex-Shear</x:v>
      </x:c>
      <x:c r="H114" s="46" t="n">
        <x:v>0.9302325581395349</x:v>
      </x:c>
      <x:c r="I114" s="46" t="n">
        <x:v>19.545454545454547</x:v>
      </x:c>
      <x:c r="J114" s="46" t="n">
        <x:v>0.09981481481481481</x:v>
      </x:c>
      <x:c r="K114" s="46" t="n">
        <x:v>0.09582222222222221</x:v>
      </x:c>
      <x:c r="L114" s="46" t="n">
        <x:v>0.3818765432098766</x:v>
      </x:c>
      <x:c r="M114" s="46" t="n">
        <x:v>0.014129008697140911</x:v>
      </x:c>
      <x:c r="N114" s="46" t="n">
        <x:v>0</x:v>
      </x:c>
      <x:c r="O114" s="48" t="str">
        <x:v>F</x:v>
      </x:c>
      <x:c r="P114" s="46" t="n">
        <x:v>0.2583135391923991</x:v>
      </x:c>
      <x:c r="Q114" s="45" t="n">
        <x:v>1</x:v>
      </x:c>
    </x:row>
    <x:row r="115">
      <x:c r="A115" s="45" t="n">
        <x:v>114</x:v>
      </x:c>
      <x:c r="B115" s="45" t="n">
        <x:v>164</x:v>
      </x:c>
      <x:c r="C115" s="45" t="n">
        <x:v>0</x:v>
      </x:c>
      <x:c r="D115" s="43" t="str">
        <x:v>Hirosawa (1975)</x:v>
      </x:c>
      <x:c r="E115" s="43" t="str">
        <x:v>Kokusho_3-6</x:v>
      </x:c>
      <x:c r="F115" s="45" t="n">
        <x:v>3</x:v>
      </x:c>
      <x:c r="G115" s="44" t="str">
        <x:v>Flex-Shear</x:v>
      </x:c>
      <x:c r="H115" s="46" t="n">
        <x:v>0.9302325581395349</x:v>
      </x:c>
      <x:c r="I115" s="46" t="n">
        <x:v>26.875</x:v>
      </x:c>
      <x:c r="J115" s="46" t="n">
        <x:v>0.16169999999999998</x:v>
      </x:c>
      <x:c r="K115" s="46" t="n">
        <x:v>0.15466956521739128</x:v>
      </x:c>
      <x:c r="L115" s="46" t="n">
        <x:v>0.4482898550724637</x:v>
      </x:c>
      <x:c r="M115" s="46" t="n">
        <x:v>0.0165862276009915</x:v>
      </x:c>
      <x:c r="N115" s="46" t="n">
        <x:v>0</x:v>
      </x:c>
      <x:c r="O115" s="48" t="str">
        <x:v>F</x:v>
      </x:c>
      <x:c r="P115" s="46" t="n">
        <x:v>0.2975376196990424</x:v>
      </x:c>
      <x:c r="Q115" s="45" t="n">
        <x:v>1</x:v>
      </x:c>
    </x:row>
    <x:row r="116">
      <x:c r="A116" s="45" t="n">
        <x:v>115</x:v>
      </x:c>
      <x:c r="B116" s="45" t="n">
        <x:v>165</x:v>
      </x:c>
      <x:c r="C116" s="45" t="n">
        <x:v>0</x:v>
      </x:c>
      <x:c r="D116" s="43" t="str">
        <x:v>Hirosawa (1975)</x:v>
      </x:c>
      <x:c r="E116" s="43" t="str">
        <x:v>Kokusho_3-7</x:v>
      </x:c>
      <x:c r="F116" s="45" t="n">
        <x:v>3</x:v>
      </x:c>
      <x:c r="G116" s="44" t="str">
        <x:v>Flex-Shear</x:v>
      </x:c>
      <x:c r="H116" s="46" t="n">
        <x:v>0.9302325581395349</x:v>
      </x:c>
      <x:c r="I116" s="46" t="n">
        <x:v>19.545454545454547</x:v>
      </x:c>
      <x:c r="J116" s="46" t="n">
        <x:v>0.13188938547486034</x:v>
      </x:c>
      <x:c r="K116" s="46" t="n">
        <x:v>0.13008268156424582</x:v>
      </x:c>
      <x:c r="L116" s="46" t="n">
        <x:v>0.34560893854748603</x:v>
      </x:c>
      <x:c r="M116" s="46" t="n">
        <x:v>0.012787147535959931</x:v>
      </x:c>
      <x:c r="N116" s="46" t="n">
        <x:v>0</x:v>
      </x:c>
      <x:c r="O116" s="48" t="str">
        <x:v>F</x:v>
      </x:c>
      <x:c r="P116" s="46" t="n">
        <x:v>0.2583135391923991</x:v>
      </x:c>
      <x:c r="Q116" s="45" t="n">
        <x:v>1</x:v>
      </x:c>
    </x:row>
    <x:row r="117">
      <x:c r="A117" s="45" t="n">
        <x:v>116</x:v>
      </x:c>
      <x:c r="B117" s="45" t="n">
        <x:v>166</x:v>
      </x:c>
      <x:c r="C117" s="45" t="n">
        <x:v>0</x:v>
      </x:c>
      <x:c r="D117" s="43" t="str">
        <x:v>Hirosawa (1975)</x:v>
      </x:c>
      <x:c r="E117" s="43" t="str">
        <x:v>Kokusho_3-8</x:v>
      </x:c>
      <x:c r="F117" s="45" t="n">
        <x:v>3</x:v>
      </x:c>
      <x:c r="G117" s="44" t="str">
        <x:v>Flex-Shear</x:v>
      </x:c>
      <x:c r="H117" s="46" t="n">
        <x:v>0.9302325581395349</x:v>
      </x:c>
      <x:c r="I117" s="46" t="n">
        <x:v>19.545454545454547</x:v>
      </x:c>
      <x:c r="J117" s="46" t="n">
        <x:v>0.14052499999999998</x:v>
      </x:c>
      <x:c r="K117" s="46" t="n">
        <x:v>0.1386</x:v>
      </x:c>
      <x:c r="L117" s="46" t="n">
        <x:v>0.3682380952380952</x:v>
      </x:c>
      <x:c r="M117" s="46" t="n">
        <x:v>0.013624401243671591</x:v>
      </x:c>
      <x:c r="N117" s="46" t="n">
        <x:v>0</x:v>
      </x:c>
      <x:c r="O117" s="48" t="str">
        <x:v>F</x:v>
      </x:c>
      <x:c r="P117" s="46" t="n">
        <x:v>0.2583135391923991</x:v>
      </x:c>
      <x:c r="Q117" s="45" t="n">
        <x:v>1</x:v>
      </x:c>
    </x:row>
    <x:row r="118">
      <x:c r="A118" s="45" t="n">
        <x:v>117</x:v>
      </x:c>
      <x:c r="B118" s="45" t="n">
        <x:v>167</x:v>
      </x:c>
      <x:c r="C118" s="45" t="n">
        <x:v>0</x:v>
      </x:c>
      <x:c r="D118" s="43" t="str">
        <x:v>Hirosawa (1975)</x:v>
      </x:c>
      <x:c r="E118" s="43" t="str">
        <x:v>Hirosawa_7-1</x:v>
      </x:c>
      <x:c r="F118" s="45" t="n">
        <x:v>2</x:v>
      </x:c>
      <x:c r="G118" s="44" t="str">
        <x:v>Shear</x:v>
      </x:c>
      <x:c r="H118" s="46" t="n">
        <x:v>1</x:v>
      </x:c>
      <x:c r="I118" s="46" t="n">
        <x:v>10.625</x:v>
      </x:c>
      <x:c r="J118" s="46" t="n">
        <x:v>0.11822674418604652</x:v>
      </x:c>
      <x:c r="K118" s="46" t="n">
        <x:v>0.06333720930232557</x:v>
      </x:c>
      <x:c r="L118" s="46" t="n">
        <x:v>1.2426651162790698</x:v>
      </x:c>
      <x:c r="M118" s="46" t="n">
        <x:v>0.2264756695292754</x:v>
      </x:c>
      <x:c r="N118" s="46" t="n">
        <x:v>0.11395348837209303</x:v>
      </x:c>
      <x:c r="O118" s="48" t="str">
        <x:v>R</x:v>
      </x:c>
      <x:c r="P118" s="46" t="n">
        <x:v>0</x:v>
      </x:c>
      <x:c r="Q118" s="45" t="n">
        <x:v>1</x:v>
      </x:c>
    </x:row>
    <x:row r="119">
      <x:c r="A119" s="45" t="n">
        <x:v>118</x:v>
      </x:c>
      <x:c r="B119" s="45" t="n">
        <x:v>168</x:v>
      </x:c>
      <x:c r="C119" s="45" t="n">
        <x:v>0</x:v>
      </x:c>
      <x:c r="D119" s="43" t="str">
        <x:v>Hirosawa (1975)</x:v>
      </x:c>
      <x:c r="E119" s="43" t="str">
        <x:v>Hirosawa_7-2</x:v>
      </x:c>
      <x:c r="F119" s="45" t="n">
        <x:v>3</x:v>
      </x:c>
      <x:c r="G119" s="44" t="str">
        <x:v>Flex-Shear</x:v>
      </x:c>
      <x:c r="H119" s="46" t="n">
        <x:v>1</x:v>
      </x:c>
      <x:c r="I119" s="46" t="n">
        <x:v>10.625</x:v>
      </x:c>
      <x:c r="J119" s="46" t="n">
        <x:v>0.09776442307692308</x:v>
      </x:c>
      <x:c r="K119" s="46" t="n">
        <x:v>0.052375</x:v>
      </x:c>
      <x:c r="L119" s="46" t="n">
        <x:v>1.0275884615384616</x:v>
      </x:c>
      <x:c r="M119" s="46" t="n">
        <x:v>0.18727795749536233</x:v>
      </x:c>
      <x:c r="N119" s="46" t="n">
        <x:v>0.09423076923076923</x:v>
      </x:c>
      <x:c r="O119" s="48" t="str">
        <x:v>R</x:v>
      </x:c>
      <x:c r="P119" s="46" t="n">
        <x:v>0</x:v>
      </x:c>
      <x:c r="Q119" s="45" t="n">
        <x:v>1</x:v>
      </x:c>
    </x:row>
    <x:row r="120">
      <x:c r="A120" s="45" t="n">
        <x:v>119</x:v>
      </x:c>
      <x:c r="B120" s="45" t="n">
        <x:v>169</x:v>
      </x:c>
      <x:c r="C120" s="45" t="n">
        <x:v>0</x:v>
      </x:c>
      <x:c r="D120" s="43" t="str">
        <x:v>Hirosawa (1975)</x:v>
      </x:c>
      <x:c r="E120" s="43" t="str">
        <x:v>Hirosawa_7-3</x:v>
      </x:c>
      <x:c r="F120" s="45" t="n">
        <x:v>2</x:v>
      </x:c>
      <x:c r="G120" s="44" t="str">
        <x:v>Shear</x:v>
      </x:c>
      <x:c r="H120" s="46" t="n">
        <x:v>1</x:v>
      </x:c>
      <x:c r="I120" s="46" t="n">
        <x:v>10.625</x:v>
      </x:c>
      <x:c r="J120" s="46" t="n">
        <x:v>0.09776442307692308</x:v>
      </x:c>
      <x:c r="K120" s="46" t="n">
        <x:v>0.11545240384615385</x:v>
      </x:c>
      <x:c r="L120" s="46" t="n">
        <x:v>1.0275884615384616</x:v>
      </x:c>
      <x:c r="M120" s="46" t="n">
        <x:v>0.3766119498462824</x:v>
      </x:c>
      <x:c r="N120" s="46" t="n">
        <x:v>0.09423076923076923</x:v>
      </x:c>
      <x:c r="O120" s="48" t="str">
        <x:v>R</x:v>
      </x:c>
      <x:c r="P120" s="46" t="n">
        <x:v>0</x:v>
      </x:c>
      <x:c r="Q120" s="45" t="n">
        <x:v>1</x:v>
      </x:c>
    </x:row>
    <x:row r="121">
      <x:c r="A121" s="45" t="n">
        <x:v>120</x:v>
      </x:c>
      <x:c r="B121" s="45" t="n">
        <x:v>170</x:v>
      </x:c>
      <x:c r="C121" s="45" t="n">
        <x:v>0</x:v>
      </x:c>
      <x:c r="D121" s="43" t="str">
        <x:v>Hirosawa (1975)</x:v>
      </x:c>
      <x:c r="E121" s="43" t="str">
        <x:v>Hirosawa_7-4</x:v>
      </x:c>
      <x:c r="F121" s="45" t="n">
        <x:v>1</x:v>
      </x:c>
      <x:c r="G121" s="44" t="str">
        <x:v>Flexural</x:v>
      </x:c>
      <x:c r="H121" s="46" t="n">
        <x:v>1</x:v>
      </x:c>
      <x:c r="I121" s="46" t="n">
        <x:v>10.625</x:v>
      </x:c>
      <x:c r="J121" s="46" t="n">
        <x:v>0.14843065693430657</x:v>
      </x:c>
      <x:c r="K121" s="46" t="n">
        <x:v>0.17528540145985405</x:v>
      </x:c>
      <x:c r="L121" s="46" t="n">
        <x:v>1.5601343065693432</x:v>
      </x:c>
      <x:c r="M121" s="46" t="n">
        <x:v>0.5717904056060346</x:v>
      </x:c>
      <x:c r="N121" s="46" t="n">
        <x:v>0.14306569343065692</x:v>
      </x:c>
      <x:c r="O121" s="48" t="str">
        <x:v>R</x:v>
      </x:c>
      <x:c r="P121" s="46" t="n">
        <x:v>0</x:v>
      </x:c>
      <x:c r="Q121" s="45" t="n">
        <x:v>1</x:v>
      </x:c>
    </x:row>
    <x:row r="122">
      <x:c r="A122" s="45" t="n">
        <x:v>121</x:v>
      </x:c>
      <x:c r="B122" s="45" t="n">
        <x:v>171</x:v>
      </x:c>
      <x:c r="C122" s="45" t="n">
        <x:v>0</x:v>
      </x:c>
      <x:c r="D122" s="43" t="str">
        <x:v>Hirosawa (1975)</x:v>
      </x:c>
      <x:c r="E122" s="43" t="str">
        <x:v>Hirosawa_7-5</x:v>
      </x:c>
      <x:c r="F122" s="45" t="n">
        <x:v>2</x:v>
      </x:c>
      <x:c r="G122" s="44" t="str">
        <x:v>Shear</x:v>
      </x:c>
      <x:c r="H122" s="46" t="n">
        <x:v>1</x:v>
      </x:c>
      <x:c r="I122" s="46" t="n">
        <x:v>10.625</x:v>
      </x:c>
      <x:c r="J122" s="46" t="n">
        <x:v>0.13833333333333334</x:v>
      </x:c>
      <x:c r="K122" s="46" t="n">
        <x:v>0.3048244897959184</x:v>
      </x:c>
      <x:c r="L122" s="46" t="n">
        <x:v>1.4540027210884354</x:v>
      </x:c>
      <x:c r="M122" s="46" t="n">
        <x:v>1.0495957598742567</x:v>
      </x:c>
      <x:c r="N122" s="46" t="n">
        <x:v>0.13333333333333336</x:v>
      </x:c>
      <x:c r="O122" s="48" t="str">
        <x:v>R</x:v>
      </x:c>
      <x:c r="P122" s="46" t="n">
        <x:v>0</x:v>
      </x:c>
      <x:c r="Q122" s="45" t="n">
        <x:v>1</x:v>
      </x:c>
    </x:row>
    <x:row r="123">
      <x:c r="A123" s="45" t="n">
        <x:v>122</x:v>
      </x:c>
      <x:c r="B123" s="45" t="n">
        <x:v>172</x:v>
      </x:c>
      <x:c r="C123" s="45" t="n">
        <x:v>0</x:v>
      </x:c>
      <x:c r="D123" s="43" t="str">
        <x:v>Hirosawa (1975)</x:v>
      </x:c>
      <x:c r="E123" s="43" t="str">
        <x:v>Hirosawa_7-6</x:v>
      </x:c>
      <x:c r="F123" s="45" t="n">
        <x:v>1</x:v>
      </x:c>
      <x:c r="G123" s="44" t="str">
        <x:v>Flexural</x:v>
      </x:c>
      <x:c r="H123" s="46" t="n">
        <x:v>1</x:v>
      </x:c>
      <x:c r="I123" s="46" t="n">
        <x:v>10.625</x:v>
      </x:c>
      <x:c r="J123" s="46" t="n">
        <x:v>0.11112021857923497</x:v>
      </x:c>
      <x:c r="K123" s="46" t="n">
        <x:v>0.24485901639344262</x:v>
      </x:c>
      <x:c r="L123" s="46" t="n">
        <x:v>1.1679693989071038</x:v>
      </x:c>
      <x:c r="M123" s="46" t="n">
        <x:v>0.8431179054727636</x:v>
      </x:c>
      <x:c r="N123" s="46" t="n">
        <x:v>0.10710382513661201</x:v>
      </x:c>
      <x:c r="O123" s="48" t="str">
        <x:v>R</x:v>
      </x:c>
      <x:c r="P123" s="46" t="n">
        <x:v>0</x:v>
      </x:c>
      <x:c r="Q123" s="45" t="n">
        <x:v>1</x:v>
      </x:c>
    </x:row>
    <x:row r="124">
      <x:c r="A124" s="45" t="n">
        <x:v>123</x:v>
      </x:c>
      <x:c r="B124" s="45" t="n">
        <x:v>173</x:v>
      </x:c>
      <x:c r="C124" s="45" t="n">
        <x:v>0</x:v>
      </x:c>
      <x:c r="D124" s="43" t="str">
        <x:v>Hirosawa (1975)</x:v>
      </x:c>
      <x:c r="E124" s="43" t="str">
        <x:v>Hirosawa_8-1</x:v>
      </x:c>
      <x:c r="F124" s="45" t="n">
        <x:v>1</x:v>
      </x:c>
      <x:c r="G124" s="44" t="str">
        <x:v>Flexural</x:v>
      </x:c>
      <x:c r="H124" s="46" t="n">
        <x:v>1</x:v>
      </x:c>
      <x:c r="I124" s="46" t="n">
        <x:v>10.625</x:v>
      </x:c>
      <x:c r="J124" s="46" t="n">
        <x:v>0.09776442307692308</x:v>
      </x:c>
      <x:c r="K124" s="46" t="n">
        <x:v>0.12329038461538461</x:v>
      </x:c>
      <x:c r="L124" s="46" t="n">
        <x:v>0.46097115384615384</x:v>
      </x:c>
      <x:c r="M124" s="46" t="n">
        <x:v>0.37580741446802063</x:v>
      </x:c>
      <x:c r="N124" s="46" t="n">
        <x:v>0.09423076923076923</x:v>
      </x:c>
      <x:c r="O124" s="48" t="str">
        <x:v>R</x:v>
      </x:c>
      <x:c r="P124" s="46" t="n">
        <x:v>0</x:v>
      </x:c>
      <x:c r="Q124" s="45" t="n">
        <x:v>1</x:v>
      </x:c>
    </x:row>
    <x:row r="125">
      <x:c r="A125" s="45" t="n">
        <x:v>124</x:v>
      </x:c>
      <x:c r="B125" s="45" t="n">
        <x:v>174</x:v>
      </x:c>
      <x:c r="C125" s="45" t="n">
        <x:v>0</x:v>
      </x:c>
      <x:c r="D125" s="43" t="str">
        <x:v>Hirosawa (1975)</x:v>
      </x:c>
      <x:c r="E125" s="43" t="str">
        <x:v>Hirosawa_8-2</x:v>
      </x:c>
      <x:c r="F125" s="45" t="n">
        <x:v>2</x:v>
      </x:c>
      <x:c r="G125" s="44" t="str">
        <x:v>Shear</x:v>
      </x:c>
      <x:c r="H125" s="46" t="n">
        <x:v>1</x:v>
      </x:c>
      <x:c r="I125" s="46" t="n">
        <x:v>10.625</x:v>
      </x:c>
      <x:c r="J125" s="46" t="n">
        <x:v>0.14843065693430657</x:v>
      </x:c>
      <x:c r="K125" s="46" t="n">
        <x:v>0.18718540145985402</x:v>
      </x:c>
      <x:c r="L125" s="46" t="n">
        <x:v>0.6998686131386862</x:v>
      </x:c>
      <x:c r="M125" s="46" t="n">
        <x:v>0.5705689212361189</x:v>
      </x:c>
      <x:c r="N125" s="46" t="n">
        <x:v>0.14306569343065692</x:v>
      </x:c>
      <x:c r="O125" s="48" t="str">
        <x:v>R</x:v>
      </x:c>
      <x:c r="P125" s="46" t="n">
        <x:v>0</x:v>
      </x:c>
      <x:c r="Q125" s="45" t="n">
        <x:v>1</x:v>
      </x:c>
    </x:row>
    <x:row r="126">
      <x:c r="A126" s="45" t="n">
        <x:v>125</x:v>
      </x:c>
      <x:c r="B126" s="45" t="n">
        <x:v>175</x:v>
      </x:c>
      <x:c r="C126" s="45" t="n">
        <x:v>0</x:v>
      </x:c>
      <x:c r="D126" s="43" t="str">
        <x:v>Hirosawa (1975)</x:v>
      </x:c>
      <x:c r="E126" s="43" t="str">
        <x:v>Hirosawa_8-3</x:v>
      </x:c>
      <x:c r="F126" s="45" t="n">
        <x:v>1</x:v>
      </x:c>
      <x:c r="G126" s="44" t="str">
        <x:v>Flexural</x:v>
      </x:c>
      <x:c r="H126" s="46" t="n">
        <x:v>1</x:v>
      </x:c>
      <x:c r="I126" s="46" t="n">
        <x:v>10.625</x:v>
      </x:c>
      <x:c r="J126" s="46" t="n">
        <x:v>0.13833333333333334</x:v>
      </x:c>
      <x:c r="K126" s="46" t="n">
        <x:v>0.3048244897959184</x:v>
      </x:c>
      <x:c r="L126" s="46" t="n">
        <x:v>0.6522585034013606</x:v>
      </x:c>
      <x:c r="M126" s="46" t="n">
        <x:v>1.0495957598742567</x:v>
      </x:c>
      <x:c r="N126" s="46" t="n">
        <x:v>0.13333333333333336</x:v>
      </x:c>
      <x:c r="O126" s="48" t="str">
        <x:v>R</x:v>
      </x:c>
      <x:c r="P126" s="46" t="n">
        <x:v>0</x:v>
      </x:c>
      <x:c r="Q126" s="45" t="n">
        <x:v>1</x:v>
      </x:c>
    </x:row>
    <x:row r="127">
      <x:c r="A127" s="45" t="n">
        <x:v>126</x:v>
      </x:c>
      <x:c r="B127" s="45" t="n">
        <x:v>176</x:v>
      </x:c>
      <x:c r="C127" s="45" t="n">
        <x:v>0</x:v>
      </x:c>
      <x:c r="D127" s="43" t="str">
        <x:v>Hirosawa (1975)</x:v>
      </x:c>
      <x:c r="E127" s="43" t="str">
        <x:v>Hirosawa_8-4</x:v>
      </x:c>
      <x:c r="F127" s="45" t="n">
        <x:v>1</x:v>
      </x:c>
      <x:c r="G127" s="44" t="str">
        <x:v>Flexural</x:v>
      </x:c>
      <x:c r="H127" s="46" t="n">
        <x:v>1</x:v>
      </x:c>
      <x:c r="I127" s="46" t="n">
        <x:v>10.625</x:v>
      </x:c>
      <x:c r="J127" s="46" t="n">
        <x:v>0.11112021857923497</x:v>
      </x:c>
      <x:c r="K127" s="46" t="n">
        <x:v>0.24485901639344262</x:v>
      </x:c>
      <x:c r="L127" s="46" t="n">
        <x:v>0.5239453551912568</x:v>
      </x:c>
      <x:c r="M127" s="46" t="n">
        <x:v>0.8431179054727636</x:v>
      </x:c>
      <x:c r="N127" s="46" t="n">
        <x:v>0.10710382513661201</x:v>
      </x:c>
      <x:c r="O127" s="48" t="str">
        <x:v>R</x:v>
      </x:c>
      <x:c r="P127" s="46" t="n">
        <x:v>0</x:v>
      </x:c>
      <x:c r="Q127" s="45" t="n">
        <x:v>1</x:v>
      </x:c>
    </x:row>
    <x:row r="128">
      <x:c r="A128" s="45" t="n">
        <x:v>127</x:v>
      </x:c>
      <x:c r="B128" s="45" t="n">
        <x:v>177</x:v>
      </x:c>
      <x:c r="C128" s="45" t="n">
        <x:v>0</x:v>
      </x:c>
      <x:c r="D128" s="43" t="str">
        <x:v>Hirosawa (1975)</x:v>
      </x:c>
      <x:c r="E128" s="43" t="str">
        <x:v>Hirosawa_9-1</x:v>
      </x:c>
      <x:c r="F128" s="45" t="n">
        <x:v>1</x:v>
      </x:c>
      <x:c r="G128" s="44" t="str">
        <x:v>Flexural</x:v>
      </x:c>
      <x:c r="H128" s="46" t="n">
        <x:v>2</x:v>
      </x:c>
      <x:c r="I128" s="46" t="n">
        <x:v>5.3125</x:v>
      </x:c>
      <x:c r="J128" s="46" t="n">
        <x:v>0.07821153846153846</x:v>
      </x:c>
      <x:c r="K128" s="46" t="n">
        <x:v>0.11545240384615385</x:v>
      </x:c>
      <x:c r="L128" s="46" t="n">
        <x:v>1.8109572115384613</x:v>
      </x:c>
      <x:c r="M128" s="46" t="n">
        <x:v>0.3766119498462824</x:v>
      </x:c>
      <x:c r="N128" s="46" t="n">
        <x:v>0.09423076923076923</x:v>
      </x:c>
      <x:c r="O128" s="48" t="str">
        <x:v>R</x:v>
      </x:c>
      <x:c r="P128" s="46" t="n">
        <x:v>0</x:v>
      </x:c>
      <x:c r="Q128" s="45" t="n">
        <x:v>1</x:v>
      </x:c>
    </x:row>
    <x:row r="129">
      <x:c r="A129" s="45" t="n">
        <x:v>128</x:v>
      </x:c>
      <x:c r="B129" s="45" t="n">
        <x:v>178</x:v>
      </x:c>
      <x:c r="C129" s="45" t="n">
        <x:v>0</x:v>
      </x:c>
      <x:c r="D129" s="43" t="str">
        <x:v>Hirosawa (1975)</x:v>
      </x:c>
      <x:c r="E129" s="43" t="str">
        <x:v>Hirosawa_9-2</x:v>
      </x:c>
      <x:c r="F129" s="45" t="n">
        <x:v>1</x:v>
      </x:c>
      <x:c r="G129" s="44" t="str">
        <x:v>Flexural</x:v>
      </x:c>
      <x:c r="H129" s="46" t="n">
        <x:v>2</x:v>
      </x:c>
      <x:c r="I129" s="46" t="n">
        <x:v>5.3125</x:v>
      </x:c>
      <x:c r="J129" s="46" t="n">
        <x:v>0.09139325842696629</x:v>
      </x:c>
      <x:c r="K129" s="46" t="n">
        <x:v>0.13491067415730337</x:v>
      </x:c>
      <x:c r="L129" s="46" t="n">
        <x:v>2.1161747191011235</x:v>
      </x:c>
      <x:c r="M129" s="46" t="n">
        <x:v>0.4400858739776783</x:v>
      </x:c>
      <x:c r="N129" s="46" t="n">
        <x:v>0.1101123595505618</x:v>
      </x:c>
      <x:c r="O129" s="48" t="str">
        <x:v>R</x:v>
      </x:c>
      <x:c r="P129" s="46" t="n">
        <x:v>0</x:v>
      </x:c>
      <x:c r="Q129" s="45" t="n">
        <x:v>1</x:v>
      </x:c>
    </x:row>
    <x:row r="130">
      <x:c r="A130" s="45" t="n">
        <x:v>129</x:v>
      </x:c>
      <x:c r="B130" s="45" t="n">
        <x:v>179</x:v>
      </x:c>
      <x:c r="C130" s="45" t="n">
        <x:v>0</x:v>
      </x:c>
      <x:c r="D130" s="43" t="str">
        <x:v>Hirosawa (1975)</x:v>
      </x:c>
      <x:c r="E130" s="43" t="str">
        <x:v>Hirosawa_9-3</x:v>
      </x:c>
      <x:c r="F130" s="45" t="n">
        <x:v>1</x:v>
      </x:c>
      <x:c r="G130" s="44" t="str">
        <x:v>Flexural</x:v>
      </x:c>
      <x:c r="H130" s="46" t="n">
        <x:v>2</x:v>
      </x:c>
      <x:c r="I130" s="46" t="n">
        <x:v>5.3125</x:v>
      </x:c>
      <x:c r="J130" s="46" t="n">
        <x:v>0.09139325842696629</x:v>
      </x:c>
      <x:c r="K130" s="46" t="n">
        <x:v>0.2517370786516854</x:v>
      </x:c>
      <x:c r="L130" s="46" t="n">
        <x:v>1.7889955056179776</x:v>
      </x:c>
      <x:c r="M130" s="46" t="n">
        <x:v>0.8668009927051445</x:v>
      </x:c>
      <x:c r="N130" s="46" t="n">
        <x:v>0.1101123595505618</x:v>
      </x:c>
      <x:c r="O130" s="48" t="str">
        <x:v>R</x:v>
      </x:c>
      <x:c r="P130" s="46" t="n">
        <x:v>0</x:v>
      </x:c>
      <x:c r="Q130" s="45" t="n">
        <x:v>1</x:v>
      </x:c>
    </x:row>
    <x:row r="131">
      <x:c r="A131" s="45" t="n">
        <x:v>130</x:v>
      </x:c>
      <x:c r="B131" s="45" t="n">
        <x:v>180</x:v>
      </x:c>
      <x:c r="C131" s="45" t="n">
        <x:v>0</x:v>
      </x:c>
      <x:c r="D131" s="43" t="str">
        <x:v>Hirosawa (1975)</x:v>
      </x:c>
      <x:c r="E131" s="43" t="str">
        <x:v>Hirosawa_9-4</x:v>
      </x:c>
      <x:c r="F131" s="45" t="n">
        <x:v>1</x:v>
      </x:c>
      <x:c r="G131" s="44" t="str">
        <x:v>Flexural</x:v>
      </x:c>
      <x:c r="H131" s="46" t="n">
        <x:v>2</x:v>
      </x:c>
      <x:c r="I131" s="46" t="n">
        <x:v>5.3125</x:v>
      </x:c>
      <x:c r="J131" s="46" t="n">
        <x:v>0.07821153846153846</x:v>
      </x:c>
      <x:c r="K131" s="46" t="n">
        <x:v>0.21542884615384617</x:v>
      </x:c>
      <x:c r="L131" s="46" t="n">
        <x:v>1.5309673076923078</x:v>
      </x:c>
      <x:c r="M131" s="46" t="n">
        <x:v>0.7417816187572872</x:v>
      </x:c>
      <x:c r="N131" s="46" t="n">
        <x:v>0.09423076923076923</x:v>
      </x:c>
      <x:c r="O131" s="48" t="str">
        <x:v>R</x:v>
      </x:c>
      <x:c r="P131" s="46" t="n">
        <x:v>0</x:v>
      </x:c>
      <x:c r="Q131" s="45" t="n">
        <x:v>1</x:v>
      </x:c>
    </x:row>
    <x:row r="132">
      <x:c r="A132" s="45" t="n">
        <x:v>131</x:v>
      </x:c>
      <x:c r="B132" s="45" t="n">
        <x:v>181</x:v>
      </x:c>
      <x:c r="C132" s="45" t="n">
        <x:v>0</x:v>
      </x:c>
      <x:c r="D132" s="43" t="str">
        <x:v>Hirosawa (1975)</x:v>
      </x:c>
      <x:c r="E132" s="43" t="str">
        <x:v>Tanabe_1-1</x:v>
      </x:c>
      <x:c r="F132" s="45" t="n">
        <x:v>3</x:v>
      </x:c>
      <x:c r="G132" s="44" t="str">
        <x:v>Flex-Shear</x:v>
      </x:c>
      <x:c r="H132" s="46" t="n">
        <x:v>0.7857142857142857</x:v>
      </x:c>
      <x:c r="I132" s="46" t="n">
        <x:v>42</x:v>
      </x:c>
      <x:c r="J132" s="46" t="n">
        <x:v>0</x:v>
      </x:c>
      <x:c r="K132" s="46" t="n">
        <x:v>0</x:v>
      </x:c>
      <x:c r="L132" s="46" t="n">
        <x:v>0.34895205047318617</x:v>
      </x:c>
      <x:c r="M132" s="46" t="n">
        <x:v>0</x:v>
      </x:c>
      <x:c r="N132" s="46" t="n">
        <x:v>0</x:v>
      </x:c>
      <x:c r="O132" s="48" t="str">
        <x:v>B</x:v>
      </x:c>
      <x:c r="P132" s="46" t="n">
        <x:v>0.3076923076923077</x:v>
      </x:c>
      <x:c r="Q132" s="45" t="n">
        <x:v>1</x:v>
      </x:c>
    </x:row>
    <x:row r="133">
      <x:c r="A133" s="45" t="n">
        <x:v>132</x:v>
      </x:c>
      <x:c r="B133" s="45" t="n">
        <x:v>182</x:v>
      </x:c>
      <x:c r="C133" s="45" t="n">
        <x:v>0</x:v>
      </x:c>
      <x:c r="D133" s="43" t="str">
        <x:v>Hirosawa (1975)</x:v>
      </x:c>
      <x:c r="E133" s="43" t="str">
        <x:v>Tanabe_1-2</x:v>
      </x:c>
      <x:c r="F133" s="45" t="n">
        <x:v>3</x:v>
      </x:c>
      <x:c r="G133" s="44" t="str">
        <x:v>Flex-Shear</x:v>
      </x:c>
      <x:c r="H133" s="46" t="n">
        <x:v>0.7857142857142857</x:v>
      </x:c>
      <x:c r="I133" s="46" t="n">
        <x:v>21</x:v>
      </x:c>
      <x:c r="J133" s="46" t="n">
        <x:v>0</x:v>
      </x:c>
      <x:c r="K133" s="46" t="n">
        <x:v>0</x:v>
      </x:c>
      <x:c r="L133" s="46" t="n">
        <x:v>0.34895205047318617</x:v>
      </x:c>
      <x:c r="M133" s="46" t="n">
        <x:v>0</x:v>
      </x:c>
      <x:c r="N133" s="46" t="n">
        <x:v>0</x:v>
      </x:c>
      <x:c r="O133" s="48" t="str">
        <x:v>B</x:v>
      </x:c>
      <x:c r="P133" s="46" t="n">
        <x:v>0.2222222222222222</x:v>
      </x:c>
      <x:c r="Q133" s="45" t="n">
        <x:v>1</x:v>
      </x:c>
    </x:row>
    <x:row r="134">
      <x:c r="A134" s="45" t="n">
        <x:v>133</x:v>
      </x:c>
      <x:c r="B134" s="45" t="n">
        <x:v>183</x:v>
      </x:c>
      <x:c r="C134" s="45" t="n">
        <x:v>0</x:v>
      </x:c>
      <x:c r="D134" s="43" t="str">
        <x:v>Hirosawa (1975)</x:v>
      </x:c>
      <x:c r="E134" s="43" t="str">
        <x:v>Tanabe_1-3</x:v>
      </x:c>
      <x:c r="F134" s="45" t="n">
        <x:v>3</x:v>
      </x:c>
      <x:c r="G134" s="44" t="str">
        <x:v>Flex-Shear</x:v>
      </x:c>
      <x:c r="H134" s="46" t="n">
        <x:v>0.7857142857142857</x:v>
      </x:c>
      <x:c r="I134" s="46" t="n">
        <x:v>10.5</x:v>
      </x:c>
      <x:c r="J134" s="46" t="n">
        <x:v>0</x:v>
      </x:c>
      <x:c r="K134" s="46" t="n">
        <x:v>0</x:v>
      </x:c>
      <x:c r="L134" s="46" t="n">
        <x:v>0.49779179810725555</x:v>
      </x:c>
      <x:c r="M134" s="46" t="n">
        <x:v>0</x:v>
      </x:c>
      <x:c r="N134" s="46" t="n">
        <x:v>0</x:v>
      </x:c>
      <x:c r="O134" s="48" t="str">
        <x:v>B</x:v>
      </x:c>
      <x:c r="P134" s="46" t="n">
        <x:v>0.1</x:v>
      </x:c>
      <x:c r="Q134" s="45" t="n">
        <x:v>1</x:v>
      </x:c>
    </x:row>
    <x:row r="135">
      <x:c r="A135" s="45" t="n">
        <x:v>134</x:v>
      </x:c>
      <x:c r="B135" s="45" t="n">
        <x:v>184</x:v>
      </x:c>
      <x:c r="C135" s="45" t="n">
        <x:v>0</x:v>
      </x:c>
      <x:c r="D135" s="43" t="str">
        <x:v>Hirosawa (1975)</x:v>
      </x:c>
      <x:c r="E135" s="43" t="str">
        <x:v>Tanabe_2-1</x:v>
      </x:c>
      <x:c r="F135" s="45" t="n">
        <x:v>3</x:v>
      </x:c>
      <x:c r="G135" s="44" t="str">
        <x:v>Flex-Shear</x:v>
      </x:c>
      <x:c r="H135" s="46" t="n">
        <x:v>0.8421052631578947</x:v>
      </x:c>
      <x:c r="I135" s="46" t="n">
        <x:v>28.5</x:v>
      </x:c>
      <x:c r="J135" s="46" t="n">
        <x:v>0</x:v>
      </x:c>
      <x:c r="K135" s="46" t="n">
        <x:v>0</x:v>
      </x:c>
      <x:c r="L135" s="46" t="n">
        <x:v>0.539765625</x:v>
      </x:c>
      <x:c r="M135" s="46" t="n">
        <x:v>0</x:v>
      </x:c>
      <x:c r="N135" s="46" t="n">
        <x:v>0</x:v>
      </x:c>
      <x:c r="O135" s="48" t="str">
        <x:v>B</x:v>
      </x:c>
      <x:c r="P135" s="46" t="n">
        <x:v>0.2222222222222222</x:v>
      </x:c>
      <x:c r="Q135" s="45" t="n">
        <x:v>1</x:v>
      </x:c>
    </x:row>
    <x:row r="136">
      <x:c r="A136" s="45" t="n">
        <x:v>135</x:v>
      </x:c>
      <x:c r="B136" s="45" t="n">
        <x:v>185</x:v>
      </x:c>
      <x:c r="C136" s="45" t="n">
        <x:v>0</x:v>
      </x:c>
      <x:c r="D136" s="43" t="str">
        <x:v>Hirosawa (1975)</x:v>
      </x:c>
      <x:c r="E136" s="43" t="str">
        <x:v>Tanabe_2-2</x:v>
      </x:c>
      <x:c r="F136" s="45" t="n">
        <x:v>3</x:v>
      </x:c>
      <x:c r="G136" s="44" t="str">
        <x:v>Flex-Shear</x:v>
      </x:c>
      <x:c r="H136" s="46" t="n">
        <x:v>0.8421052631578947</x:v>
      </x:c>
      <x:c r="I136" s="46" t="n">
        <x:v>19</x:v>
      </x:c>
      <x:c r="J136" s="46" t="n">
        <x:v>0</x:v>
      </x:c>
      <x:c r="K136" s="46" t="n">
        <x:v>0</x:v>
      </x:c>
      <x:c r="L136" s="46" t="n">
        <x:v>0.5380841121495327</x:v>
      </x:c>
      <x:c r="M136" s="46" t="n">
        <x:v>0</x:v>
      </x:c>
      <x:c r="N136" s="46" t="n">
        <x:v>0</x:v>
      </x:c>
      <x:c r="O136" s="48" t="str">
        <x:v>B</x:v>
      </x:c>
      <x:c r="P136" s="46" t="n">
        <x:v>0.17391304347826086</x:v>
      </x:c>
      <x:c r="Q136" s="45" t="n">
        <x:v>1</x:v>
      </x:c>
    </x:row>
    <x:row r="137">
      <x:c r="A137" s="45" t="n">
        <x:v>136</x:v>
      </x:c>
      <x:c r="B137" s="45" t="n">
        <x:v>186</x:v>
      </x:c>
      <x:c r="C137" s="45" t="n">
        <x:v>0</x:v>
      </x:c>
      <x:c r="D137" s="43" t="str">
        <x:v>Hirosawa (1975)</x:v>
      </x:c>
      <x:c r="E137" s="43" t="str">
        <x:v>Tanabe_2-3</x:v>
      </x:c>
      <x:c r="F137" s="45" t="n">
        <x:v>3</x:v>
      </x:c>
      <x:c r="G137" s="44" t="str">
        <x:v>Flex-Shear</x:v>
      </x:c>
      <x:c r="H137" s="46" t="n">
        <x:v>0.8421052631578947</x:v>
      </x:c>
      <x:c r="I137" s="46" t="n">
        <x:v>14.25</x:v>
      </x:c>
      <x:c r="J137" s="46" t="n">
        <x:v>0</x:v>
      </x:c>
      <x:c r="K137" s="46" t="n">
        <x:v>0</x:v>
      </x:c>
      <x:c r="L137" s="46" t="n">
        <x:v>0.5186936936936938</x:v>
      </x:c>
      <x:c r="M137" s="46" t="n">
        <x:v>0</x:v>
      </x:c>
      <x:c r="N137" s="46" t="n">
        <x:v>0</x:v>
      </x:c>
      <x:c r="O137" s="48" t="str">
        <x:v>B</x:v>
      </x:c>
      <x:c r="P137" s="46" t="n">
        <x:v>0.14285714285714285</x:v>
      </x:c>
      <x:c r="Q137" s="45" t="n">
        <x:v>1</x:v>
      </x:c>
    </x:row>
    <x:row r="138">
      <x:c r="A138" s="45" t="n">
        <x:v>137</x:v>
      </x:c>
      <x:c r="B138" s="45" t="n">
        <x:v>187</x:v>
      </x:c>
      <x:c r="C138" s="45" t="n">
        <x:v>0</x:v>
      </x:c>
      <x:c r="D138" s="43" t="str">
        <x:v>Hirosawa (1975)</x:v>
      </x:c>
      <x:c r="E138" s="43" t="str">
        <x:v>Tanabe_2-4</x:v>
      </x:c>
      <x:c r="F138" s="45" t="n">
        <x:v>3</x:v>
      </x:c>
      <x:c r="G138" s="44" t="str">
        <x:v>Flex-Shear</x:v>
      </x:c>
      <x:c r="H138" s="46" t="n">
        <x:v>0.8421052631578947</x:v>
      </x:c>
      <x:c r="I138" s="46" t="n">
        <x:v>57</x:v>
      </x:c>
      <x:c r="J138" s="46" t="n">
        <x:v>0.32696363636363635</x:v>
      </x:c>
      <x:c r="K138" s="46" t="n">
        <x:v>0.32696363636363635</x:v>
      </x:c>
      <x:c r="L138" s="46" t="n">
        <x:v>0.5414576802507838</x:v>
      </x:c>
      <x:c r="M138" s="46" t="n">
        <x:v>0.013994367275081807</x:v>
      </x:c>
      <x:c r="N138" s="46" t="n">
        <x:v>0</x:v>
      </x:c>
      <x:c r="O138" s="48" t="str">
        <x:v>B</x:v>
      </x:c>
      <x:c r="P138" s="46" t="n">
        <x:v>0.3076923076923077</x:v>
      </x:c>
      <x:c r="Q138" s="45" t="n">
        <x:v>1</x:v>
      </x:c>
    </x:row>
    <x:row r="139">
      <x:c r="A139" s="45" t="n">
        <x:v>138</x:v>
      </x:c>
      <x:c r="B139" s="45" t="n">
        <x:v>188</x:v>
      </x:c>
      <x:c r="C139" s="45" t="n">
        <x:v>0</x:v>
      </x:c>
      <x:c r="D139" s="43" t="str">
        <x:v>Hirosawa (1975)</x:v>
      </x:c>
      <x:c r="E139" s="43" t="str">
        <x:v>Tanabe_2-5</x:v>
      </x:c>
      <x:c r="F139" s="45" t="n">
        <x:v>3</x:v>
      </x:c>
      <x:c r="G139" s="44" t="str">
        <x:v>Flex-Shear</x:v>
      </x:c>
      <x:c r="H139" s="46" t="n">
        <x:v>0.8421052631578947</x:v>
      </x:c>
      <x:c r="I139" s="46" t="n">
        <x:v>28.5</x:v>
      </x:c>
      <x:c r="J139" s="46" t="n">
        <x:v>0.15162857142857142</x:v>
      </x:c>
      <x:c r="K139" s="46" t="n">
        <x:v>0.15162857142857142</x:v>
      </x:c>
      <x:c r="L139" s="46" t="n">
        <x:v>0.5035714285714287</x:v>
      </x:c>
      <x:c r="M139" s="46" t="n">
        <x:v>0.013015169564872002</x:v>
      </x:c>
      <x:c r="N139" s="46" t="n">
        <x:v>0</x:v>
      </x:c>
      <x:c r="O139" s="48" t="str">
        <x:v>B</x:v>
      </x:c>
      <x:c r="P139" s="46" t="n">
        <x:v>0.2222222222222222</x:v>
      </x:c>
      <x:c r="Q139" s="45" t="n">
        <x:v>1</x:v>
      </x:c>
    </x:row>
    <x:row r="140">
      <x:c r="A140" s="45" t="n">
        <x:v>139</x:v>
      </x:c>
      <x:c r="B140" s="45" t="n">
        <x:v>189</x:v>
      </x:c>
      <x:c r="C140" s="45" t="n">
        <x:v>0</x:v>
      </x:c>
      <x:c r="D140" s="43" t="str">
        <x:v>Hirosawa (1975)</x:v>
      </x:c>
      <x:c r="E140" s="43" t="str">
        <x:v>Tanabe_2-6</x:v>
      </x:c>
      <x:c r="F140" s="45" t="n">
        <x:v>3</x:v>
      </x:c>
      <x:c r="G140" s="44" t="str">
        <x:v>Flex-Shear</x:v>
      </x:c>
      <x:c r="H140" s="46" t="n">
        <x:v>0.8421052631578947</x:v>
      </x:c>
      <x:c r="I140" s="46" t="n">
        <x:v>28.5</x:v>
      </x:c>
      <x:c r="J140" s="46" t="n">
        <x:v>0.17278604651162788</x:v>
      </x:c>
      <x:c r="K140" s="46" t="n">
        <x:v>0.17278604651162788</x:v>
      </x:c>
      <x:c r="L140" s="46" t="n">
        <x:v>0.5738372093023256</x:v>
      </x:c>
      <x:c r="M140" s="46" t="n">
        <x:v>0.014831239736714606</x:v>
      </x:c>
      <x:c r="N140" s="46" t="n">
        <x:v>0</x:v>
      </x:c>
      <x:c r="O140" s="48" t="str">
        <x:v>B</x:v>
      </x:c>
      <x:c r="P140" s="46" t="n">
        <x:v>0.2222222222222222</x:v>
      </x:c>
      <x:c r="Q140" s="45" t="n">
        <x:v>1</x:v>
      </x:c>
    </x:row>
    <x:row r="141">
      <x:c r="A141" s="45" t="n">
        <x:v>140</x:v>
      </x:c>
      <x:c r="B141" s="45" t="n">
        <x:v>190</x:v>
      </x:c>
      <x:c r="C141" s="45" t="n">
        <x:v>0</x:v>
      </x:c>
      <x:c r="D141" s="43" t="str">
        <x:v>Hirosawa (1975)</x:v>
      </x:c>
      <x:c r="E141" s="43" t="str">
        <x:v>Tanabe_2-7</x:v>
      </x:c>
      <x:c r="F141" s="45" t="n">
        <x:v>3</x:v>
      </x:c>
      <x:c r="G141" s="44" t="str">
        <x:v>Flex-Shear</x:v>
      </x:c>
      <x:c r="H141" s="46" t="n">
        <x:v>0.8421052631578947</x:v>
      </x:c>
      <x:c r="I141" s="46" t="n">
        <x:v>28.5</x:v>
      </x:c>
      <x:c r="J141" s="46" t="n">
        <x:v>0.149021776504298</x:v>
      </x:c>
      <x:c r="K141" s="46" t="n">
        <x:v>0.149021776504298</x:v>
      </x:c>
      <x:c r="L141" s="46" t="n">
        <x:v>0.4949140401146132</x:v>
      </x:c>
      <x:c r="M141" s="46" t="n">
        <x:v>0.012791413068054718</x:v>
      </x:c>
      <x:c r="N141" s="46" t="n">
        <x:v>0</x:v>
      </x:c>
      <x:c r="O141" s="48" t="str">
        <x:v>B</x:v>
      </x:c>
      <x:c r="P141" s="46" t="n">
        <x:v>0.2222222222222222</x:v>
      </x:c>
      <x:c r="Q141" s="45" t="n">
        <x:v>1</x:v>
      </x:c>
    </x:row>
    <x:row r="142">
      <x:c r="A142" s="45" t="n">
        <x:v>141</x:v>
      </x:c>
      <x:c r="B142" s="45" t="n">
        <x:v>191</x:v>
      </x:c>
      <x:c r="C142" s="45" t="n">
        <x:v>0</x:v>
      </x:c>
      <x:c r="D142" s="43" t="str">
        <x:v>Hirosawa (1975)</x:v>
      </x:c>
      <x:c r="E142" s="43" t="str">
        <x:v>Tanabe_2-8</x:v>
      </x:c>
      <x:c r="F142" s="45" t="n">
        <x:v>3</x:v>
      </x:c>
      <x:c r="G142" s="44" t="str">
        <x:v>Flex-Shear</x:v>
      </x:c>
      <x:c r="H142" s="46" t="n">
        <x:v>0.8421052631578947</x:v>
      </x:c>
      <x:c r="I142" s="46" t="n">
        <x:v>19</x:v>
      </x:c>
      <x:c r="J142" s="46" t="n">
        <x:v>0.0973943820224719</x:v>
      </x:c>
      <x:c r="K142" s="46" t="n">
        <x:v>0.0973943820224719</x:v>
      </x:c>
      <x:c r="L142" s="46" t="n">
        <x:v>0.48518258426966293</x:v>
      </x:c>
      <x:c r="M142" s="46" t="n">
        <x:v>0.012539896518963752</x:v>
      </x:c>
      <x:c r="N142" s="46" t="n">
        <x:v>0</x:v>
      </x:c>
      <x:c r="O142" s="48" t="str">
        <x:v>B</x:v>
      </x:c>
      <x:c r="P142" s="46" t="n">
        <x:v>0.17391304347826086</x:v>
      </x:c>
      <x:c r="Q142" s="45" t="n">
        <x:v>1</x:v>
      </x:c>
    </x:row>
    <x:row r="143">
      <x:c r="A143" s="45" t="n">
        <x:v>142</x:v>
      </x:c>
      <x:c r="B143" s="45" t="n">
        <x:v>192</x:v>
      </x:c>
      <x:c r="C143" s="45" t="n">
        <x:v>0</x:v>
      </x:c>
      <x:c r="D143" s="43" t="str">
        <x:v>Hirosawa (1975)</x:v>
      </x:c>
      <x:c r="E143" s="43" t="str">
        <x:v>Tanabe_2-9</x:v>
      </x:c>
      <x:c r="F143" s="45" t="n">
        <x:v>3</x:v>
      </x:c>
      <x:c r="G143" s="44" t="str">
        <x:v>Flex-Shear</x:v>
      </x:c>
      <x:c r="H143" s="46" t="n">
        <x:v>0.8421052631578947</x:v>
      </x:c>
      <x:c r="I143" s="46" t="n">
        <x:v>19</x:v>
      </x:c>
      <x:c r="J143" s="46" t="n">
        <x:v>0.10108571428571429</x:v>
      </x:c>
      <x:c r="K143" s="46" t="n">
        <x:v>0.10108571428571429</x:v>
      </x:c>
      <x:c r="L143" s="46" t="n">
        <x:v>0.5035714285714287</x:v>
      </x:c>
      <x:c r="M143" s="46" t="n">
        <x:v>0.013015169564872002</x:v>
      </x:c>
      <x:c r="N143" s="46" t="n">
        <x:v>0</x:v>
      </x:c>
      <x:c r="O143" s="48" t="str">
        <x:v>B</x:v>
      </x:c>
      <x:c r="P143" s="46" t="n">
        <x:v>0.17391304347826086</x:v>
      </x:c>
      <x:c r="Q143" s="45" t="n">
        <x:v>1</x:v>
      </x:c>
    </x:row>
    <x:row r="144">
      <x:c r="A144" s="45" t="n">
        <x:v>143</x:v>
      </x:c>
      <x:c r="B144" s="45" t="n">
        <x:v>193</x:v>
      </x:c>
      <x:c r="C144" s="45" t="n">
        <x:v>0</x:v>
      </x:c>
      <x:c r="D144" s="43" t="str">
        <x:v>Hirosawa (1975)</x:v>
      </x:c>
      <x:c r="E144" s="43" t="str">
        <x:v>Tanabe_2-10</x:v>
      </x:c>
      <x:c r="F144" s="45" t="n">
        <x:v>3</x:v>
      </x:c>
      <x:c r="G144" s="44" t="str">
        <x:v>Flex-Shear</x:v>
      </x:c>
      <x:c r="H144" s="46" t="n">
        <x:v>0.8421052631578947</x:v>
      </x:c>
      <x:c r="I144" s="46" t="n">
        <x:v>19</x:v>
      </x:c>
      <x:c r="J144" s="46" t="n">
        <x:v>0.1025810650887574</x:v>
      </x:c>
      <x:c r="K144" s="46" t="n">
        <x:v>0.1025810650887574</x:v>
      </x:c>
      <x:c r="L144" s="46" t="n">
        <x:v>0.5110207100591717</x:v>
      </x:c>
      <x:c r="M144" s="46" t="n">
        <x:v>0.013207701659026913</x:v>
      </x:c>
      <x:c r="N144" s="46" t="n">
        <x:v>0</x:v>
      </x:c>
      <x:c r="O144" s="48" t="str">
        <x:v>B</x:v>
      </x:c>
      <x:c r="P144" s="46" t="n">
        <x:v>0.17391304347826086</x:v>
      </x:c>
      <x:c r="Q144" s="45" t="n">
        <x:v>1</x:v>
      </x:c>
    </x:row>
    <x:row r="145">
      <x:c r="A145" s="45" t="n">
        <x:v>144</x:v>
      </x:c>
      <x:c r="B145" s="45" t="n">
        <x:v>194</x:v>
      </x:c>
      <x:c r="C145" s="45" t="n">
        <x:v>0</x:v>
      </x:c>
      <x:c r="D145" s="43" t="str">
        <x:v>Hirosawa (1975)</x:v>
      </x:c>
      <x:c r="E145" s="43" t="str">
        <x:v>Tanabe_2-11</x:v>
      </x:c>
      <x:c r="F145" s="45" t="n">
        <x:v>3</x:v>
      </x:c>
      <x:c r="G145" s="44" t="str">
        <x:v>Flex-Shear</x:v>
      </x:c>
      <x:c r="H145" s="46" t="n">
        <x:v>0.8421052631578947</x:v>
      </x:c>
      <x:c r="I145" s="46" t="n">
        <x:v>14.25</x:v>
      </x:c>
      <x:c r="J145" s="46" t="n">
        <x:v>0.07971463414634146</x:v>
      </x:c>
      <x:c r="K145" s="46" t="n">
        <x:v>0.07971463414634146</x:v>
      </x:c>
      <x:c r="L145" s="46" t="n">
        <x:v>0.5266006097560977</x:v>
      </x:c>
      <x:c r="M145" s="46" t="n">
        <x:v>0.013610375490094806</x:v>
      </x:c>
      <x:c r="N145" s="46" t="n">
        <x:v>0</x:v>
      </x:c>
      <x:c r="O145" s="48" t="str">
        <x:v>B</x:v>
      </x:c>
      <x:c r="P145" s="46" t="n">
        <x:v>0.14285714285714285</x:v>
      </x:c>
      <x:c r="Q145" s="45" t="n">
        <x:v>1</x:v>
      </x:c>
    </x:row>
    <x:row r="146">
      <x:c r="A146" s="45" t="n">
        <x:v>145</x:v>
      </x:c>
      <x:c r="B146" s="45" t="n">
        <x:v>195</x:v>
      </x:c>
      <x:c r="C146" s="45" t="n">
        <x:v>0</x:v>
      </x:c>
      <x:c r="D146" s="43" t="str">
        <x:v>Hirosawa (1975)</x:v>
      </x:c>
      <x:c r="E146" s="43" t="str">
        <x:v>Tanabe_2-12</x:v>
      </x:c>
      <x:c r="F146" s="45" t="n">
        <x:v>3</x:v>
      </x:c>
      <x:c r="G146" s="44" t="str">
        <x:v>Flex-Shear</x:v>
      </x:c>
      <x:c r="H146" s="46" t="n">
        <x:v>0.8421052631578947</x:v>
      </x:c>
      <x:c r="I146" s="46" t="n">
        <x:v>14.25</x:v>
      </x:c>
      <x:c r="J146" s="46" t="n">
        <x:v>0.07406912181303116</x:v>
      </x:c>
      <x:c r="K146" s="46" t="n">
        <x:v>0.07406912181303116</x:v>
      </x:c>
      <x:c r="L146" s="46" t="n">
        <x:v>0.48930594900849866</x:v>
      </x:c>
      <x:c r="M146" s="46" t="n">
        <x:v>0.01264646787748186</x:v>
      </x:c>
      <x:c r="N146" s="46" t="n">
        <x:v>0</x:v>
      </x:c>
      <x:c r="O146" s="48" t="str">
        <x:v>B</x:v>
      </x:c>
      <x:c r="P146" s="46" t="n">
        <x:v>0.14285714285714285</x:v>
      </x:c>
      <x:c r="Q146" s="45" t="n">
        <x:v>1</x:v>
      </x:c>
    </x:row>
    <x:row r="147">
      <x:c r="A147" s="45" t="n">
        <x:v>146</x:v>
      </x:c>
      <x:c r="B147" s="45" t="n">
        <x:v>196</x:v>
      </x:c>
      <x:c r="C147" s="45" t="n">
        <x:v>0</x:v>
      </x:c>
      <x:c r="D147" s="43" t="str">
        <x:v>Hirosawa (1975)</x:v>
      </x:c>
      <x:c r="E147" s="43" t="str">
        <x:v>Tanabe_2-13</x:v>
      </x:c>
      <x:c r="F147" s="45" t="n">
        <x:v>3</x:v>
      </x:c>
      <x:c r="G147" s="44" t="str">
        <x:v>Flex-Shear</x:v>
      </x:c>
      <x:c r="H147" s="46" t="n">
        <x:v>0.8421052631578947</x:v>
      </x:c>
      <x:c r="I147" s="46" t="n">
        <x:v>14.25</x:v>
      </x:c>
      <x:c r="J147" s="46" t="n">
        <x:v>0.07303463687150838</x:v>
      </x:c>
      <x:c r="K147" s="46" t="n">
        <x:v>0.07303463687150838</x:v>
      </x:c>
      <x:c r="L147" s="46" t="n">
        <x:v>0.4824720670391062</x:v>
      </x:c>
      <x:c r="M147" s="46" t="n">
        <x:v>0.012469841231148315</x:v>
      </x:c>
      <x:c r="N147" s="46" t="n">
        <x:v>0</x:v>
      </x:c>
      <x:c r="O147" s="48" t="str">
        <x:v>B</x:v>
      </x:c>
      <x:c r="P147" s="46" t="n">
        <x:v>0.14285714285714285</x:v>
      </x:c>
      <x:c r="Q147" s="45" t="n">
        <x:v>1</x:v>
      </x:c>
    </x:row>
    <x:row r="148">
      <x:c r="A148" s="45" t="n">
        <x:v>147</x:v>
      </x:c>
      <x:c r="B148" s="45" t="n">
        <x:v>197</x:v>
      </x:c>
      <x:c r="C148" s="45" t="n">
        <x:v>0</x:v>
      </x:c>
      <x:c r="D148" s="43" t="str">
        <x:v>Hirosawa (1975)</x:v>
      </x:c>
      <x:c r="E148" s="43" t="str">
        <x:v>Tanabe_3-1</x:v>
      </x:c>
      <x:c r="F148" s="45" t="n">
        <x:v>3</x:v>
      </x:c>
      <x:c r="G148" s="44" t="str">
        <x:v>Flex-Shear</x:v>
      </x:c>
      <x:c r="H148" s="46" t="n">
        <x:v>0.8421052631578947</x:v>
      </x:c>
      <x:c r="I148" s="46" t="n">
        <x:v>57</x:v>
      </x:c>
      <x:c r="J148" s="46" t="n">
        <x:v>0.11747161572052403</x:v>
      </x:c>
      <x:c r="K148" s="46" t="n">
        <x:v>0.11747161572052403</x:v>
      </x:c>
      <x:c r="L148" s="46" t="n">
        <x:v>0.3001637554585153</x:v>
      </x:c>
      <x:c r="M148" s="46" t="n">
        <x:v>0.01008327773095414</x:v>
      </x:c>
      <x:c r="N148" s="46" t="n">
        <x:v>0</x:v>
      </x:c>
      <x:c r="O148" s="48" t="str">
        <x:v>B</x:v>
      </x:c>
      <x:c r="P148" s="46" t="n">
        <x:v>0.3076923076923077</x:v>
      </x:c>
      <x:c r="Q148" s="45" t="n">
        <x:v>1</x:v>
      </x:c>
    </x:row>
    <x:row r="149">
      <x:c r="A149" s="45" t="n">
        <x:v>148</x:v>
      </x:c>
      <x:c r="B149" s="45" t="n">
        <x:v>198</x:v>
      </x:c>
      <x:c r="C149" s="45" t="n">
        <x:v>0</x:v>
      </x:c>
      <x:c r="D149" s="43" t="str">
        <x:v>Hirosawa (1975)</x:v>
      </x:c>
      <x:c r="E149" s="43" t="str">
        <x:v>Tanabe_3-2</x:v>
      </x:c>
      <x:c r="F149" s="45" t="n">
        <x:v>3</x:v>
      </x:c>
      <x:c r="G149" s="44" t="str">
        <x:v>Flex-Shear</x:v>
      </x:c>
      <x:c r="H149" s="46" t="n">
        <x:v>0.8421052631578947</x:v>
      </x:c>
      <x:c r="I149" s="46" t="n">
        <x:v>57</x:v>
      </x:c>
      <x:c r="J149" s="46" t="n">
        <x:v>0.12396774193548388</x:v>
      </x:c>
      <x:c r="K149" s="46" t="n">
        <x:v>0.12396774193548388</x:v>
      </x:c>
      <x:c r="L149" s="46" t="n">
        <x:v>0.3167626728110599</x:v>
      </x:c>
      <x:c r="M149" s="46" t="n">
        <x:v>0.010640878342804139</x:v>
      </x:c>
      <x:c r="N149" s="46" t="n">
        <x:v>0</x:v>
      </x:c>
      <x:c r="O149" s="48" t="str">
        <x:v>B</x:v>
      </x:c>
      <x:c r="P149" s="46" t="n">
        <x:v>0.3076923076923077</x:v>
      </x:c>
      <x:c r="Q149" s="45" t="n">
        <x:v>1</x:v>
      </x:c>
    </x:row>
    <x:row r="150">
      <x:c r="A150" s="45" t="n">
        <x:v>149</x:v>
      </x:c>
      <x:c r="B150" s="45" t="n">
        <x:v>199</x:v>
      </x:c>
      <x:c r="C150" s="45" t="n">
        <x:v>0</x:v>
      </x:c>
      <x:c r="D150" s="43" t="str">
        <x:v>Hirosawa (1975)</x:v>
      </x:c>
      <x:c r="E150" s="43" t="str">
        <x:v>Tanabe_3-3</x:v>
      </x:c>
      <x:c r="F150" s="45" t="n">
        <x:v>3</x:v>
      </x:c>
      <x:c r="G150" s="44" t="str">
        <x:v>Flex-Shear</x:v>
      </x:c>
      <x:c r="H150" s="46" t="n">
        <x:v>0.8421052631578947</x:v>
      </x:c>
      <x:c r="I150" s="46" t="n">
        <x:v>28.5</x:v>
      </x:c>
      <x:c r="J150" s="46" t="n">
        <x:v>0.12541258741258743</x:v>
      </x:c>
      <x:c r="K150" s="46" t="n">
        <x:v>0.12541258741258743</x:v>
      </x:c>
      <x:c r="L150" s="46" t="n">
        <x:v>0.3204545454545455</x:v>
      </x:c>
      <x:c r="M150" s="46" t="n">
        <x:v>0.010764897903909082</x:v>
      </x:c>
      <x:c r="N150" s="46" t="n">
        <x:v>0</x:v>
      </x:c>
      <x:c r="O150" s="48" t="str">
        <x:v>B</x:v>
      </x:c>
      <x:c r="P150" s="46" t="n">
        <x:v>0.2222222222222222</x:v>
      </x:c>
      <x:c r="Q150" s="45" t="n">
        <x:v>1</x:v>
      </x:c>
    </x:row>
    <x:row r="151">
      <x:c r="A151" s="45" t="n">
        <x:v>150</x:v>
      </x:c>
      <x:c r="B151" s="45" t="n">
        <x:v>200</x:v>
      </x:c>
      <x:c r="C151" s="45" t="n">
        <x:v>0</x:v>
      </x:c>
      <x:c r="D151" s="43" t="str">
        <x:v>Hirosawa (1975)</x:v>
      </x:c>
      <x:c r="E151" s="43" t="str">
        <x:v>Tanabe_3-4</x:v>
      </x:c>
      <x:c r="F151" s="45" t="n">
        <x:v>3</x:v>
      </x:c>
      <x:c r="G151" s="44" t="str">
        <x:v>Flex-Shear</x:v>
      </x:c>
      <x:c r="H151" s="46" t="n">
        <x:v>0.8421052631578947</x:v>
      </x:c>
      <x:c r="I151" s="46" t="n">
        <x:v>28.5</x:v>
      </x:c>
      <x:c r="J151" s="46" t="n">
        <x:v>0.11047638603696099</x:v>
      </x:c>
      <x:c r="K151" s="46" t="n">
        <x:v>0.11047638603696099</x:v>
      </x:c>
      <x:c r="L151" s="46" t="n">
        <x:v>0.28228952772073923</x:v>
      </x:c>
      <x:c r="M151" s="46" t="n">
        <x:v>0.009482836141225864</x:v>
      </x:c>
      <x:c r="N151" s="46" t="n">
        <x:v>0</x:v>
      </x:c>
      <x:c r="O151" s="48" t="str">
        <x:v>B</x:v>
      </x:c>
      <x:c r="P151" s="46" t="n">
        <x:v>0.2222222222222222</x:v>
      </x:c>
      <x:c r="Q151" s="45" t="n">
        <x:v>1</x:v>
      </x:c>
    </x:row>
    <x:row r="152">
      <x:c r="A152" s="45" t="n">
        <x:v>151</x:v>
      </x:c>
      <x:c r="B152" s="45" t="n">
        <x:v>201</x:v>
      </x:c>
      <x:c r="C152" s="45" t="n">
        <x:v>0</x:v>
      </x:c>
      <x:c r="D152" s="43" t="str">
        <x:v>Hirosawa (1975)</x:v>
      </x:c>
      <x:c r="E152" s="43" t="str">
        <x:v>Tanabe_3-5</x:v>
      </x:c>
      <x:c r="F152" s="45" t="n">
        <x:v>3</x:v>
      </x:c>
      <x:c r="G152" s="44" t="str">
        <x:v>Flex-Shear</x:v>
      </x:c>
      <x:c r="H152" s="46" t="n">
        <x:v>0.8421052631578947</x:v>
      </x:c>
      <x:c r="I152" s="46" t="n">
        <x:v>19</x:v>
      </x:c>
      <x:c r="J152" s="46" t="n">
        <x:v>0.08967</x:v>
      </x:c>
      <x:c r="K152" s="46" t="n">
        <x:v>0.08967</x:v>
      </x:c>
      <x:c r="L152" s="46" t="n">
        <x:v>0.34368750000000003</x:v>
      </x:c>
      <x:c r="M152" s="46" t="n">
        <x:v>0.01154535300194249</x:v>
      </x:c>
      <x:c r="N152" s="46" t="n">
        <x:v>0</x:v>
      </x:c>
      <x:c r="O152" s="48" t="str">
        <x:v>B</x:v>
      </x:c>
      <x:c r="P152" s="46" t="n">
        <x:v>0.17391304347826086</x:v>
      </x:c>
      <x:c r="Q152" s="45" t="n">
        <x:v>1</x:v>
      </x:c>
    </x:row>
    <x:row r="153">
      <x:c r="A153" s="45" t="n">
        <x:v>152</x:v>
      </x:c>
      <x:c r="B153" s="45" t="n">
        <x:v>202</x:v>
      </x:c>
      <x:c r="C153" s="45" t="n">
        <x:v>0</x:v>
      </x:c>
      <x:c r="D153" s="43" t="str">
        <x:v>Hirosawa (1975)</x:v>
      </x:c>
      <x:c r="E153" s="43" t="str">
        <x:v>Tanabe_3-6</x:v>
      </x:c>
      <x:c r="F153" s="45" t="n">
        <x:v>3</x:v>
      </x:c>
      <x:c r="G153" s="44" t="str">
        <x:v>Flex-Shear</x:v>
      </x:c>
      <x:c r="H153" s="46" t="n">
        <x:v>0.8421052631578947</x:v>
      </x:c>
      <x:c r="I153" s="46" t="n">
        <x:v>19</x:v>
      </x:c>
      <x:c r="J153" s="46" t="n">
        <x:v>0.07780477223427332</x:v>
      </x:c>
      <x:c r="K153" s="46" t="n">
        <x:v>0.07780477223427332</x:v>
      </x:c>
      <x:c r="L153" s="46" t="n">
        <x:v>0.29821041214750543</x:v>
      </x:c>
      <x:c r="M153" s="46" t="n">
        <x:v>0.010017659871533614</x:v>
      </x:c>
      <x:c r="N153" s="46" t="n">
        <x:v>0</x:v>
      </x:c>
      <x:c r="O153" s="48" t="str">
        <x:v>B</x:v>
      </x:c>
      <x:c r="P153" s="46" t="n">
        <x:v>0.17391304347826086</x:v>
      </x:c>
      <x:c r="Q153" s="45" t="n">
        <x:v>1</x:v>
      </x:c>
    </x:row>
    <x:row r="154">
      <x:c r="A154" s="45" t="n">
        <x:v>153</x:v>
      </x:c>
      <x:c r="B154" s="45" t="n">
        <x:v>203</x:v>
      </x:c>
      <x:c r="C154" s="45" t="n">
        <x:v>0</x:v>
      </x:c>
      <x:c r="D154" s="43" t="str">
        <x:v>Hirosawa (1975)</x:v>
      </x:c>
      <x:c r="E154" s="43" t="str">
        <x:v>Tanabe_3-7</x:v>
      </x:c>
      <x:c r="F154" s="45" t="n">
        <x:v>3</x:v>
      </x:c>
      <x:c r="G154" s="44" t="str">
        <x:v>Flex-Shear</x:v>
      </x:c>
      <x:c r="H154" s="46" t="n">
        <x:v>0.8421052631578947</x:v>
      </x:c>
      <x:c r="I154" s="46" t="n">
        <x:v>14.25</x:v>
      </x:c>
      <x:c r="J154" s="46" t="n">
        <x:v>0.05970860927152318</x:v>
      </x:c>
      <x:c r="K154" s="46" t="n">
        <x:v>0.05970860927152318</x:v>
      </x:c>
      <x:c r="L154" s="46" t="n">
        <x:v>0.303476821192053</x:v>
      </x:c>
      <x:c r="M154" s="46" t="n">
        <x:v>0.010194572187145687</x:v>
      </x:c>
      <x:c r="N154" s="46" t="n">
        <x:v>0</x:v>
      </x:c>
      <x:c r="O154" s="48" t="str">
        <x:v>B</x:v>
      </x:c>
      <x:c r="P154" s="46" t="n">
        <x:v>0.14285714285714285</x:v>
      </x:c>
      <x:c r="Q154" s="45" t="n">
        <x:v>1</x:v>
      </x:c>
    </x:row>
    <x:row r="155">
      <x:c r="A155" s="45" t="n">
        <x:v>154</x:v>
      </x:c>
      <x:c r="B155" s="45" t="n">
        <x:v>204</x:v>
      </x:c>
      <x:c r="C155" s="45" t="n">
        <x:v>0</x:v>
      </x:c>
      <x:c r="D155" s="43" t="str">
        <x:v>Hirosawa (1975)</x:v>
      </x:c>
      <x:c r="E155" s="43" t="str">
        <x:v>Tanabe_3-8</x:v>
      </x:c>
      <x:c r="F155" s="45" t="n">
        <x:v>3</x:v>
      </x:c>
      <x:c r="G155" s="44" t="str">
        <x:v>Flex-Shear</x:v>
      </x:c>
      <x:c r="H155" s="46" t="n">
        <x:v>0.8421052631578947</x:v>
      </x:c>
      <x:c r="I155" s="46" t="n">
        <x:v>14.25</x:v>
      </x:c>
      <x:c r="J155" s="46" t="n">
        <x:v>0.06364235294117647</x:v>
      </x:c>
      <x:c r="K155" s="46" t="n">
        <x:v>0.06364235294117647</x:v>
      </x:c>
      <x:c r="L155" s="46" t="n">
        <x:v>0.3234705882352941</x:v>
      </x:c>
      <x:c r="M155" s="46" t="n">
        <x:v>0.01086621459006352</x:v>
      </x:c>
      <x:c r="N155" s="46" t="n">
        <x:v>0</x:v>
      </x:c>
      <x:c r="O155" s="48" t="str">
        <x:v>B</x:v>
      </x:c>
      <x:c r="P155" s="46" t="n">
        <x:v>0.14285714285714285</x:v>
      </x:c>
      <x:c r="Q155" s="45" t="n">
        <x:v>1</x:v>
      </x:c>
    </x:row>
    <x:row r="156">
      <x:c r="A156" s="45" t="n">
        <x:v>155</x:v>
      </x:c>
      <x:c r="B156" s="45" t="n">
        <x:v>205</x:v>
      </x:c>
      <x:c r="C156" s="45" t="n">
        <x:v>0</x:v>
      </x:c>
      <x:c r="D156" s="43" t="str">
        <x:v>Hirosawa (1975)</x:v>
      </x:c>
      <x:c r="E156" s="43" t="str">
        <x:v>Tanabe_4-1</x:v>
      </x:c>
      <x:c r="F156" s="45" t="n">
        <x:v>3</x:v>
      </x:c>
      <x:c r="G156" s="44" t="str">
        <x:v>Flex-Shear</x:v>
      </x:c>
      <x:c r="H156" s="46" t="n">
        <x:v>0.8421052631578947</x:v>
      </x:c>
      <x:c r="I156" s="46" t="n">
        <x:v>57</x:v>
      </x:c>
      <x:c r="J156" s="46" t="n">
        <x:v>0.15493736501079916</x:v>
      </x:c>
      <x:c r="K156" s="46" t="n">
        <x:v>0.15493736501079916</x:v>
      </x:c>
      <x:c r="L156" s="46" t="n">
        <x:v>0.2969222462203024</x:v>
      </x:c>
      <x:c r="M156" s="46" t="n">
        <x:v>0.009974387042714895</x:v>
      </x:c>
      <x:c r="N156" s="46" t="n">
        <x:v>0</x:v>
      </x:c>
      <x:c r="O156" s="48" t="str">
        <x:v>B</x:v>
      </x:c>
      <x:c r="P156" s="46" t="n">
        <x:v>0.3076923076923077</x:v>
      </x:c>
      <x:c r="Q156" s="45" t="n">
        <x:v>1</x:v>
      </x:c>
    </x:row>
    <x:row r="157">
      <x:c r="A157" s="45" t="n">
        <x:v>156</x:v>
      </x:c>
      <x:c r="B157" s="45" t="n">
        <x:v>206</x:v>
      </x:c>
      <x:c r="C157" s="45" t="n">
        <x:v>0</x:v>
      </x:c>
      <x:c r="D157" s="43" t="str">
        <x:v>Hirosawa (1975)</x:v>
      </x:c>
      <x:c r="E157" s="43" t="str">
        <x:v>Tanabe_4-2</x:v>
      </x:c>
      <x:c r="F157" s="45" t="n">
        <x:v>3</x:v>
      </x:c>
      <x:c r="G157" s="44" t="str">
        <x:v>Flex-Shear</x:v>
      </x:c>
      <x:c r="H157" s="46" t="n">
        <x:v>0.8421052631578947</x:v>
      </x:c>
      <x:c r="I157" s="46" t="n">
        <x:v>57</x:v>
      </x:c>
      <x:c r="J157" s="46" t="n">
        <x:v>0.1532820512820513</x:v>
      </x:c>
      <x:c r="K157" s="46" t="n">
        <x:v>0.1532820512820513</x:v>
      </x:c>
      <x:c r="L157" s="46" t="n">
        <x:v>0.29375</x:v>
      </x:c>
      <x:c r="M157" s="46" t="n">
        <x:v>0.009867823078583325</x:v>
      </x:c>
      <x:c r="N157" s="46" t="n">
        <x:v>0</x:v>
      </x:c>
      <x:c r="O157" s="48" t="str">
        <x:v>B</x:v>
      </x:c>
      <x:c r="P157" s="46" t="n">
        <x:v>0.3076923076923077</x:v>
      </x:c>
      <x:c r="Q157" s="45" t="n">
        <x:v>1</x:v>
      </x:c>
    </x:row>
    <x:row r="158">
      <x:c r="A158" s="45" t="n">
        <x:v>157</x:v>
      </x:c>
      <x:c r="B158" s="45" t="n">
        <x:v>207</x:v>
      </x:c>
      <x:c r="C158" s="45" t="n">
        <x:v>0</x:v>
      </x:c>
      <x:c r="D158" s="43" t="str">
        <x:v>Hirosawa (1975)</x:v>
      </x:c>
      <x:c r="E158" s="43" t="str">
        <x:v>Tanabe_4-3</x:v>
      </x:c>
      <x:c r="F158" s="45" t="n">
        <x:v>3</x:v>
      </x:c>
      <x:c r="G158" s="44" t="str">
        <x:v>Flex-Shear</x:v>
      </x:c>
      <x:c r="H158" s="46" t="n">
        <x:v>0.8421052631578947</x:v>
      </x:c>
      <x:c r="I158" s="46" t="n">
        <x:v>57</x:v>
      </x:c>
      <x:c r="J158" s="46" t="n">
        <x:v>0.15731578947368421</x:v>
      </x:c>
      <x:c r="K158" s="46" t="n">
        <x:v>0.15731578947368421</x:v>
      </x:c>
      <x:c r="L158" s="46" t="n">
        <x:v>0.3014802631578947</x:v>
      </x:c>
      <x:c r="M158" s="46" t="n">
        <x:v>0.010127502633282886</x:v>
      </x:c>
      <x:c r="N158" s="46" t="n">
        <x:v>0</x:v>
      </x:c>
      <x:c r="O158" s="48" t="str">
        <x:v>B</x:v>
      </x:c>
      <x:c r="P158" s="46" t="n">
        <x:v>0.3076923076923077</x:v>
      </x:c>
      <x:c r="Q158" s="45" t="n">
        <x:v>1</x:v>
      </x:c>
    </x:row>
    <x:row r="159">
      <x:c r="A159" s="45" t="n">
        <x:v>158</x:v>
      </x:c>
      <x:c r="B159" s="45" t="n">
        <x:v>208</x:v>
      </x:c>
      <x:c r="C159" s="45" t="n">
        <x:v>0</x:v>
      </x:c>
      <x:c r="D159" s="43" t="str">
        <x:v>Hirosawa (1975)</x:v>
      </x:c>
      <x:c r="E159" s="43" t="str">
        <x:v>Tanabe_4-4</x:v>
      </x:c>
      <x:c r="F159" s="45" t="n">
        <x:v>3</x:v>
      </x:c>
      <x:c r="G159" s="44" t="str">
        <x:v>Flex-Shear</x:v>
      </x:c>
      <x:c r="H159" s="46" t="n">
        <x:v>0.8421052631578947</x:v>
      </x:c>
      <x:c r="I159" s="46" t="n">
        <x:v>28.5</x:v>
      </x:c>
      <x:c r="J159" s="46" t="n">
        <x:v>0.1805711670480549</x:v>
      </x:c>
      <x:c r="K159" s="46" t="n">
        <x:v>0.1805711670480549</x:v>
      </x:c>
      <x:c r="L159" s="46" t="n">
        <x:v>0.31458810068649884</x:v>
      </x:c>
      <x:c r="M159" s="46" t="n">
        <x:v>0.011624611718202964</x:v>
      </x:c>
      <x:c r="N159" s="46" t="n">
        <x:v>0</x:v>
      </x:c>
      <x:c r="O159" s="48" t="str">
        <x:v>B</x:v>
      </x:c>
      <x:c r="P159" s="46" t="n">
        <x:v>0.2222222222222222</x:v>
      </x:c>
      <x:c r="Q159" s="45" t="n">
        <x:v>1</x:v>
      </x:c>
    </x:row>
    <x:row r="160">
      <x:c r="A160" s="45" t="n">
        <x:v>159</x:v>
      </x:c>
      <x:c r="B160" s="45" t="n">
        <x:v>209</x:v>
      </x:c>
      <x:c r="C160" s="45" t="n">
        <x:v>0</x:v>
      </x:c>
      <x:c r="D160" s="43" t="str">
        <x:v>Hirosawa (1975)</x:v>
      </x:c>
      <x:c r="E160" s="43" t="str">
        <x:v>Tanabe_4-5</x:v>
      </x:c>
      <x:c r="F160" s="45" t="n">
        <x:v>3</x:v>
      </x:c>
      <x:c r="G160" s="44" t="str">
        <x:v>Flex-Shear</x:v>
      </x:c>
      <x:c r="H160" s="46" t="n">
        <x:v>0.8421052631578947</x:v>
      </x:c>
      <x:c r="I160" s="46" t="n">
        <x:v>28.5</x:v>
      </x:c>
      <x:c r="J160" s="46" t="n">
        <x:v>0.17974851936218678</x:v>
      </x:c>
      <x:c r="K160" s="46" t="n">
        <x:v>0.17974851936218678</x:v>
      </x:c>
      <x:c r="L160" s="46" t="n">
        <x:v>0.31315489749430525</x:v>
      </x:c>
      <x:c r="M160" s="46" t="n">
        <x:v>0.011571652211514113</x:v>
      </x:c>
      <x:c r="N160" s="46" t="n">
        <x:v>0</x:v>
      </x:c>
      <x:c r="O160" s="48" t="str">
        <x:v>B</x:v>
      </x:c>
      <x:c r="P160" s="46" t="n">
        <x:v>0.2222222222222222</x:v>
      </x:c>
      <x:c r="Q160" s="45" t="n">
        <x:v>1</x:v>
      </x:c>
    </x:row>
    <x:row r="161">
      <x:c r="A161" s="45" t="n">
        <x:v>160</x:v>
      </x:c>
      <x:c r="B161" s="45" t="n">
        <x:v>210</x:v>
      </x:c>
      <x:c r="C161" s="45" t="n">
        <x:v>0</x:v>
      </x:c>
      <x:c r="D161" s="43" t="str">
        <x:v>Hirosawa (1975)</x:v>
      </x:c>
      <x:c r="E161" s="43" t="str">
        <x:v>Tanabe_4-6</x:v>
      </x:c>
      <x:c r="F161" s="45" t="n">
        <x:v>3</x:v>
      </x:c>
      <x:c r="G161" s="44" t="str">
        <x:v>Flex-Shear</x:v>
      </x:c>
      <x:c r="H161" s="46" t="n">
        <x:v>0.8421052631578947</x:v>
      </x:c>
      <x:c r="I161" s="46" t="n">
        <x:v>28.5</x:v>
      </x:c>
      <x:c r="J161" s="46" t="n">
        <x:v>0.17496585365853656</x:v>
      </x:c>
      <x:c r="K161" s="46" t="n">
        <x:v>0.17496585365853656</x:v>
      </x:c>
      <x:c r="L161" s="46" t="n">
        <x:v>0.30482261640798225</x:v>
      </x:c>
      <x:c r="M161" s="46" t="n">
        <x:v>0.011263759026285356</x:v>
      </x:c>
      <x:c r="N161" s="46" t="n">
        <x:v>0</x:v>
      </x:c>
      <x:c r="O161" s="48" t="str">
        <x:v>B</x:v>
      </x:c>
      <x:c r="P161" s="46" t="n">
        <x:v>0.2222222222222222</x:v>
      </x:c>
      <x:c r="Q161" s="45" t="n">
        <x:v>1</x:v>
      </x:c>
    </x:row>
    <x:row r="162">
      <x:c r="A162" s="45" t="n">
        <x:v>161</x:v>
      </x:c>
      <x:c r="B162" s="45" t="n">
        <x:v>211</x:v>
      </x:c>
      <x:c r="C162" s="45" t="n">
        <x:v>0</x:v>
      </x:c>
      <x:c r="D162" s="43" t="str">
        <x:v>Hirosawa (1975)</x:v>
      </x:c>
      <x:c r="E162" s="43" t="str">
        <x:v>Tanabe_4-7</x:v>
      </x:c>
      <x:c r="F162" s="45" t="n">
        <x:v>3</x:v>
      </x:c>
      <x:c r="G162" s="44" t="str">
        <x:v>Flex-Shear</x:v>
      </x:c>
      <x:c r="H162" s="46" t="n">
        <x:v>0.8421052631578947</x:v>
      </x:c>
      <x:c r="I162" s="46" t="n">
        <x:v>19</x:v>
      </x:c>
      <x:c r="J162" s="46" t="n">
        <x:v>0.11611057268722465</x:v>
      </x:c>
      <x:c r="K162" s="46" t="n">
        <x:v>0.11611057268722465</x:v>
      </x:c>
      <x:c r="L162" s="46" t="n">
        <x:v>0.30280837004405287</x:v>
      </x:c>
      <x:c r="M162" s="46" t="n">
        <x:v>0.011189328900561004</x:v>
      </x:c>
      <x:c r="N162" s="46" t="n">
        <x:v>0</x:v>
      </x:c>
      <x:c r="O162" s="48" t="str">
        <x:v>B</x:v>
      </x:c>
      <x:c r="P162" s="46" t="n">
        <x:v>0.17391304347826086</x:v>
      </x:c>
      <x:c r="Q162" s="45" t="n">
        <x:v>1</x:v>
      </x:c>
    </x:row>
    <x:row r="163">
      <x:c r="A163" s="45" t="n">
        <x:v>162</x:v>
      </x:c>
      <x:c r="B163" s="45" t="n">
        <x:v>212</x:v>
      </x:c>
      <x:c r="C163" s="45" t="n">
        <x:v>0</x:v>
      </x:c>
      <x:c r="D163" s="43" t="str">
        <x:v>Hirosawa (1975)</x:v>
      </x:c>
      <x:c r="E163" s="43" t="str">
        <x:v>Tanabe_4-8</x:v>
      </x:c>
      <x:c r="F163" s="45" t="n">
        <x:v>3</x:v>
      </x:c>
      <x:c r="G163" s="44" t="str">
        <x:v>Flex-Shear</x:v>
      </x:c>
      <x:c r="H163" s="46" t="n">
        <x:v>0.8421052631578947</x:v>
      </x:c>
      <x:c r="I163" s="46" t="n">
        <x:v>19</x:v>
      </x:c>
      <x:c r="J163" s="46" t="n">
        <x:v>0.12230672853828303</x:v>
      </x:c>
      <x:c r="K163" s="46" t="n">
        <x:v>0.12230672853828303</x:v>
      </x:c>
      <x:c r="L163" s="46" t="n">
        <x:v>0.3189675174013921</x:v>
      </x:c>
      <x:c r="M163" s="46" t="n">
        <x:v>0.011786439259523655</x:v>
      </x:c>
      <x:c r="N163" s="46" t="n">
        <x:v>0</x:v>
      </x:c>
      <x:c r="O163" s="48" t="str">
        <x:v>B</x:v>
      </x:c>
      <x:c r="P163" s="46" t="n">
        <x:v>0.17391304347826086</x:v>
      </x:c>
      <x:c r="Q163" s="45" t="n">
        <x:v>1</x:v>
      </x:c>
    </x:row>
    <x:row r="164">
      <x:c r="A164" s="45" t="n">
        <x:v>163</x:v>
      </x:c>
      <x:c r="B164" s="45" t="n">
        <x:v>213</x:v>
      </x:c>
      <x:c r="C164" s="45" t="n">
        <x:v>0</x:v>
      </x:c>
      <x:c r="D164" s="43" t="str">
        <x:v>Hirosawa (1975)</x:v>
      </x:c>
      <x:c r="E164" s="43" t="str">
        <x:v>Tanabe_4-9</x:v>
      </x:c>
      <x:c r="F164" s="45" t="n">
        <x:v>3</x:v>
      </x:c>
      <x:c r="G164" s="44" t="str">
        <x:v>Flex-Shear</x:v>
      </x:c>
      <x:c r="H164" s="46" t="n">
        <x:v>0.8421052631578947</x:v>
      </x:c>
      <x:c r="I164" s="46" t="n">
        <x:v>19</x:v>
      </x:c>
      <x:c r="J164" s="46" t="n">
        <x:v>0.11872567567567566</x:v>
      </x:c>
      <x:c r="K164" s="46" t="n">
        <x:v>0.11872567567567566</x:v>
      </x:c>
      <x:c r="L164" s="46" t="n">
        <x:v>0.3096283783783784</x:v>
      </x:c>
      <x:c r="M164" s="46" t="n">
        <x:v>0.011441340812735802</x:v>
      </x:c>
      <x:c r="N164" s="46" t="n">
        <x:v>0</x:v>
      </x:c>
      <x:c r="O164" s="48" t="str">
        <x:v>B</x:v>
      </x:c>
      <x:c r="P164" s="46" t="n">
        <x:v>0.17391304347826086</x:v>
      </x:c>
      <x:c r="Q164" s="45" t="n">
        <x:v>1</x:v>
      </x:c>
    </x:row>
    <x:row r="165">
      <x:c r="A165" s="45" t="n">
        <x:v>164</x:v>
      </x:c>
      <x:c r="B165" s="45" t="n">
        <x:v>214</x:v>
      </x:c>
      <x:c r="C165" s="45" t="n">
        <x:v>0</x:v>
      </x:c>
      <x:c r="D165" s="43" t="str">
        <x:v>Hirosawa (1975)</x:v>
      </x:c>
      <x:c r="E165" s="43" t="str">
        <x:v>Tanabe_4-10</x:v>
      </x:c>
      <x:c r="F165" s="45" t="n">
        <x:v>3</x:v>
      </x:c>
      <x:c r="G165" s="44" t="str">
        <x:v>Flex-Shear</x:v>
      </x:c>
      <x:c r="H165" s="46" t="n">
        <x:v>0.8421052631578947</x:v>
      </x:c>
      <x:c r="I165" s="46" t="n">
        <x:v>14.25</x:v>
      </x:c>
      <x:c r="J165" s="46" t="n">
        <x:v>0.09007945205479452</x:v>
      </x:c>
      <x:c r="K165" s="46" t="n">
        <x:v>0.09007945205479452</x:v>
      </x:c>
      <x:c r="L165" s="46" t="n">
        <x:v>0.3138698630136987</x:v>
      </x:c>
      <x:c r="M165" s="46" t="n">
        <x:v>0.011598071508800675</x:v>
      </x:c>
      <x:c r="N165" s="46" t="n">
        <x:v>0</x:v>
      </x:c>
      <x:c r="O165" s="48" t="str">
        <x:v>B</x:v>
      </x:c>
      <x:c r="P165" s="46" t="n">
        <x:v>0.14285714285714285</x:v>
      </x:c>
      <x:c r="Q165" s="45" t="n">
        <x:v>1</x:v>
      </x:c>
    </x:row>
    <x:row r="166">
      <x:c r="A166" s="45" t="n">
        <x:v>165</x:v>
      </x:c>
      <x:c r="B166" s="45" t="n">
        <x:v>215</x:v>
      </x:c>
      <x:c r="C166" s="45" t="n">
        <x:v>0</x:v>
      </x:c>
      <x:c r="D166" s="43" t="str">
        <x:v>Hirosawa (1975)</x:v>
      </x:c>
      <x:c r="E166" s="43" t="str">
        <x:v>Tanabe_4-11</x:v>
      </x:c>
      <x:c r="F166" s="45" t="n">
        <x:v>3</x:v>
      </x:c>
      <x:c r="G166" s="44" t="str">
        <x:v>Flex-Shear</x:v>
      </x:c>
      <x:c r="H166" s="46" t="n">
        <x:v>0.8421052631578947</x:v>
      </x:c>
      <x:c r="I166" s="46" t="n">
        <x:v>14.25</x:v>
      </x:c>
      <x:c r="J166" s="46" t="n">
        <x:v>0.09028558352402745</x:v>
      </x:c>
      <x:c r="K166" s="46" t="n">
        <x:v>0.09028558352402745</x:v>
      </x:c>
      <x:c r="L166" s="46" t="n">
        <x:v>0.31458810068649884</x:v>
      </x:c>
      <x:c r="M166" s="46" t="n">
        <x:v>0.011624611718202964</x:v>
      </x:c>
      <x:c r="N166" s="46" t="n">
        <x:v>0</x:v>
      </x:c>
      <x:c r="O166" s="48" t="str">
        <x:v>B</x:v>
      </x:c>
      <x:c r="P166" s="46" t="n">
        <x:v>0.14285714285714285</x:v>
      </x:c>
      <x:c r="Q166" s="45" t="n">
        <x:v>1</x:v>
      </x:c>
    </x:row>
    <x:row r="167">
      <x:c r="A167" s="45" t="n">
        <x:v>166</x:v>
      </x:c>
      <x:c r="B167" s="45" t="n">
        <x:v>216</x:v>
      </x:c>
      <x:c r="C167" s="45" t="n">
        <x:v>0</x:v>
      </x:c>
      <x:c r="D167" s="43" t="str">
        <x:v>Hirosawa (1975)</x:v>
      </x:c>
      <x:c r="E167" s="43" t="str">
        <x:v>Tanabe_4-12</x:v>
      </x:c>
      <x:c r="F167" s="45" t="n">
        <x:v>3</x:v>
      </x:c>
      <x:c r="G167" s="44" t="str">
        <x:v>Flex-Shear</x:v>
      </x:c>
      <x:c r="H167" s="46" t="n">
        <x:v>0.8421052631578947</x:v>
      </x:c>
      <x:c r="I167" s="46" t="n">
        <x:v>14.25</x:v>
      </x:c>
      <x:c r="J167" s="46" t="n">
        <x:v>0.09670294117647059</x:v>
      </x:c>
      <x:c r="K167" s="46" t="n">
        <x:v>0.09670294117647059</x:v>
      </x:c>
      <x:c r="L167" s="46" t="n">
        <x:v>0.33694852941176473</x:v>
      </x:c>
      <x:c r="M167" s="46" t="n">
        <x:v>0.012450870884447783</x:v>
      </x:c>
      <x:c r="N167" s="46" t="n">
        <x:v>0</x:v>
      </x:c>
      <x:c r="O167" s="48" t="str">
        <x:v>B</x:v>
      </x:c>
      <x:c r="P167" s="46" t="n">
        <x:v>0.14285714285714285</x:v>
      </x:c>
      <x:c r="Q167" s="45" t="n">
        <x:v>1</x:v>
      </x:c>
    </x:row>
    <x:row r="168">
      <x:c r="A168" s="45" t="n">
        <x:v>167</x:v>
      </x:c>
      <x:c r="B168" s="45" t="n">
        <x:v>219</x:v>
      </x:c>
      <x:c r="C168" s="45" t="n">
        <x:v>0</x:v>
      </x:c>
      <x:c r="D168" s="43" t="str">
        <x:v>Hirosawa (1975)</x:v>
      </x:c>
      <x:c r="E168" s="43" t="str">
        <x:v>Sugano_2-1</x:v>
      </x:c>
      <x:c r="F168" s="45" t="n">
        <x:v>3</x:v>
      </x:c>
      <x:c r="G168" s="44" t="str">
        <x:v>Flex-Shear</x:v>
      </x:c>
      <x:c r="H168" s="46" t="n">
        <x:v>0.4090909090909091</x:v>
      </x:c>
      <x:c r="I168" s="46" t="n">
        <x:v>33</x:v>
      </x:c>
      <x:c r="J168" s="46" t="n">
        <x:v>0.1830378640776699</x:v>
      </x:c>
      <x:c r="K168" s="46" t="n">
        <x:v>0.1830378640776699</x:v>
      </x:c>
      <x:c r="L168" s="46" t="n">
        <x:v>0.34102572815533977</x:v>
      </x:c>
      <x:c r="M168" s="46" t="n">
        <x:v>0.015731050754413452</x:v>
      </x:c>
      <x:c r="N168" s="46" t="n">
        <x:v>0</x:v>
      </x:c>
      <x:c r="O168" s="48" t="str">
        <x:v>B</x:v>
      </x:c>
      <x:c r="P168" s="46" t="n">
        <x:v>0.2</x:v>
      </x:c>
      <x:c r="Q168" s="45" t="n">
        <x:v>1</x:v>
      </x:c>
    </x:row>
    <x:row r="169">
      <x:c r="A169" s="45" t="n">
        <x:v>168</x:v>
      </x:c>
      <x:c r="B169" s="45" t="n">
        <x:v>220</x:v>
      </x:c>
      <x:c r="C169" s="45" t="n">
        <x:v>0</x:v>
      </x:c>
      <x:c r="D169" s="43" t="str">
        <x:v>Hirosawa (1975)</x:v>
      </x:c>
      <x:c r="E169" s="43" t="str">
        <x:v>Sugano_2-2</x:v>
      </x:c>
      <x:c r="F169" s="45" t="n">
        <x:v>3</x:v>
      </x:c>
      <x:c r="G169" s="44" t="str">
        <x:v>Flex-Shear</x:v>
      </x:c>
      <x:c r="H169" s="46" t="n">
        <x:v>0.4090909090909091</x:v>
      </x:c>
      <x:c r="I169" s="46" t="n">
        <x:v>33</x:v>
      </x:c>
      <x:c r="J169" s="46" t="n">
        <x:v>0.1812778846153846</x:v>
      </x:c>
      <x:c r="K169" s="46" t="n">
        <x:v>0.1812778846153846</x:v>
      </x:c>
      <x:c r="L169" s="46" t="n">
        <x:v>0.3377466346153846</x:v>
      </x:c>
      <x:c r="M169" s="46" t="n">
        <x:v>0.015579790651005631</x:v>
      </x:c>
      <x:c r="N169" s="46" t="n">
        <x:v>0</x:v>
      </x:c>
      <x:c r="O169" s="48" t="str">
        <x:v>B</x:v>
      </x:c>
      <x:c r="P169" s="46" t="n">
        <x:v>0.2</x:v>
      </x:c>
      <x:c r="Q169" s="45" t="n">
        <x:v>1</x:v>
      </x:c>
    </x:row>
    <x:row r="170">
      <x:c r="A170" s="45" t="n">
        <x:v>169</x:v>
      </x:c>
      <x:c r="B170" s="45" t="n">
        <x:v>221</x:v>
      </x:c>
      <x:c r="C170" s="45" t="n">
        <x:v>0</x:v>
      </x:c>
      <x:c r="D170" s="43" t="str">
        <x:v>Hirosawa (1975)</x:v>
      </x:c>
      <x:c r="E170" s="43" t="str">
        <x:v>Sugano_2-3</x:v>
      </x:c>
      <x:c r="F170" s="45" t="n">
        <x:v>3</x:v>
      </x:c>
      <x:c r="G170" s="44" t="str">
        <x:v>Flex-Shear</x:v>
      </x:c>
      <x:c r="H170" s="46" t="n">
        <x:v>0.4090909090909091</x:v>
      </x:c>
      <x:c r="I170" s="46" t="n">
        <x:v>33</x:v>
      </x:c>
      <x:c r="J170" s="46" t="n">
        <x:v>0.1770225352112676</x:v>
      </x:c>
      <x:c r="K170" s="46" t="n">
        <x:v>0.1770225352112676</x:v>
      </x:c>
      <x:c r="L170" s="46" t="n">
        <x:v>0.3298183098591549</x:v>
      </x:c>
      <x:c r="M170" s="46" t="n">
        <x:v>0.015214067865770758</x:v>
      </x:c>
      <x:c r="N170" s="46" t="n">
        <x:v>0</x:v>
      </x:c>
      <x:c r="O170" s="48" t="str">
        <x:v>B</x:v>
      </x:c>
      <x:c r="P170" s="46" t="n">
        <x:v>0.2</x:v>
      </x:c>
      <x:c r="Q170" s="45" t="n">
        <x:v>1</x:v>
      </x:c>
    </x:row>
    <x:row r="171">
      <x:c r="A171" s="45" t="n">
        <x:v>170</x:v>
      </x:c>
      <x:c r="B171" s="45" t="n">
        <x:v>222</x:v>
      </x:c>
      <x:c r="C171" s="45" t="n">
        <x:v>0</x:v>
      </x:c>
      <x:c r="D171" s="43" t="str">
        <x:v>Hirosawa (1975)</x:v>
      </x:c>
      <x:c r="E171" s="43" t="str">
        <x:v>Sugano_2-4</x:v>
      </x:c>
      <x:c r="F171" s="45" t="n">
        <x:v>3</x:v>
      </x:c>
      <x:c r="G171" s="44" t="str">
        <x:v>Flex-Shear</x:v>
      </x:c>
      <x:c r="H171" s="46" t="n">
        <x:v>0.4090909090909091</x:v>
      </x:c>
      <x:c r="I171" s="46" t="n">
        <x:v>33</x:v>
      </x:c>
      <x:c r="J171" s="46" t="n">
        <x:v>0.09327346938775509</x:v>
      </x:c>
      <x:c r="K171" s="46" t="n">
        <x:v>0.09618826530612244</x:v>
      </x:c>
      <x:c r="L171" s="46" t="n">
        <x:v>0.358425</x:v>
      </x:c>
      <x:c r="M171" s="46" t="n">
        <x:v>0.01653365538474067</x:v>
      </x:c>
      <x:c r="N171" s="46" t="n">
        <x:v>0</x:v>
      </x:c>
      <x:c r="O171" s="48" t="str">
        <x:v>B</x:v>
      </x:c>
      <x:c r="P171" s="46" t="n">
        <x:v>0.2</x:v>
      </x:c>
      <x:c r="Q171" s="45" t="n">
        <x:v>1</x:v>
      </x:c>
    </x:row>
    <x:row r="172">
      <x:c r="A172" s="45" t="n">
        <x:v>171</x:v>
      </x:c>
      <x:c r="B172" s="45" t="n">
        <x:v>223</x:v>
      </x:c>
      <x:c r="C172" s="45" t="n">
        <x:v>0</x:v>
      </x:c>
      <x:c r="D172" s="43" t="str">
        <x:v>Hirosawa (1975)</x:v>
      </x:c>
      <x:c r="E172" s="43" t="str">
        <x:v>Sugano_2-5</x:v>
      </x:c>
      <x:c r="F172" s="45" t="n">
        <x:v>3</x:v>
      </x:c>
      <x:c r="G172" s="44" t="str">
        <x:v>Flex-Shear</x:v>
      </x:c>
      <x:c r="H172" s="46" t="n">
        <x:v>0.4090909090909091</x:v>
      </x:c>
      <x:c r="I172" s="46" t="n">
        <x:v>33</x:v>
      </x:c>
      <x:c r="J172" s="46" t="n">
        <x:v>0.0906389423076923</x:v>
      </x:c>
      <x:c r="K172" s="46" t="n">
        <x:v>0.0906389423076923</x:v>
      </x:c>
      <x:c r="L172" s="46" t="n">
        <x:v>0.3377466346153846</x:v>
      </x:c>
      <x:c r="M172" s="46" t="n">
        <x:v>0.015579790651005631</x:v>
      </x:c>
      <x:c r="N172" s="46" t="n">
        <x:v>0</x:v>
      </x:c>
      <x:c r="O172" s="48" t="str">
        <x:v>B</x:v>
      </x:c>
      <x:c r="P172" s="46" t="n">
        <x:v>0.2</x:v>
      </x:c>
      <x:c r="Q172" s="45" t="n">
        <x:v>1</x:v>
      </x:c>
    </x:row>
    <x:row r="173">
      <x:c r="A173" s="45" t="n">
        <x:v>172</x:v>
      </x:c>
      <x:c r="B173" s="45" t="n">
        <x:v>224</x:v>
      </x:c>
      <x:c r="C173" s="45" t="n">
        <x:v>0</x:v>
      </x:c>
      <x:c r="D173" s="43" t="str">
        <x:v>Hirosawa (1975)</x:v>
      </x:c>
      <x:c r="E173" s="43" t="str">
        <x:v>Sugano_2-6</x:v>
      </x:c>
      <x:c r="F173" s="45" t="n">
        <x:v>3</x:v>
      </x:c>
      <x:c r="G173" s="44" t="str">
        <x:v>Flex-Shear</x:v>
      </x:c>
      <x:c r="H173" s="46" t="n">
        <x:v>0.4090909090909091</x:v>
      </x:c>
      <x:c r="I173" s="46" t="n">
        <x:v>33</x:v>
      </x:c>
      <x:c r="J173" s="46" t="n">
        <x:v>0.09565756097560975</x:v>
      </x:c>
      <x:c r="K173" s="46" t="n">
        <x:v>0.09149853658536584</x:v>
      </x:c>
      <x:c r="L173" s="46" t="n">
        <x:v>0.3426892682926829</x:v>
      </x:c>
      <x:c r="M173" s="46" t="n">
        <x:v>0.00786377250538811</x:v>
      </x:c>
      <x:c r="N173" s="46" t="n">
        <x:v>0</x:v>
      </x:c>
      <x:c r="O173" s="48" t="str">
        <x:v>B</x:v>
      </x:c>
      <x:c r="P173" s="46" t="n">
        <x:v>0.2</x:v>
      </x:c>
      <x:c r="Q173" s="45" t="n">
        <x:v>1</x:v>
      </x:c>
    </x:row>
    <x:row r="174">
      <x:c r="A174" s="45" t="n">
        <x:v>173</x:v>
      </x:c>
      <x:c r="B174" s="45" t="n">
        <x:v>225</x:v>
      </x:c>
      <x:c r="C174" s="45" t="n">
        <x:v>0</x:v>
      </x:c>
      <x:c r="D174" s="43" t="str">
        <x:v>Hirosawa (1975)</x:v>
      </x:c>
      <x:c r="E174" s="43" t="str">
        <x:v>Sugano_2-7</x:v>
      </x:c>
      <x:c r="F174" s="45" t="n">
        <x:v>3</x:v>
      </x:c>
      <x:c r="G174" s="44" t="str">
        <x:v>Flex-Shear</x:v>
      </x:c>
      <x:c r="H174" s="46" t="n">
        <x:v>0.4090909090909091</x:v>
      </x:c>
      <x:c r="I174" s="46" t="n">
        <x:v>33</x:v>
      </x:c>
      <x:c r="J174" s="46" t="n">
        <x:v>0.10004999999999999</x:v>
      </x:c>
      <x:c r="K174" s="46" t="n">
        <x:v>0.09569999999999998</x:v>
      </x:c>
      <x:c r="L174" s="46" t="n">
        <x:v>0.358425</x:v>
      </x:c>
      <x:c r="M174" s="46" t="n">
        <x:v>0.008224864100023278</x:v>
      </x:c>
      <x:c r="N174" s="46" t="n">
        <x:v>0</x:v>
      </x:c>
      <x:c r="O174" s="48" t="str">
        <x:v>B</x:v>
      </x:c>
      <x:c r="P174" s="46" t="n">
        <x:v>0.2</x:v>
      </x:c>
      <x:c r="Q174" s="45" t="n">
        <x:v>1</x:v>
      </x:c>
    </x:row>
    <x:row r="175">
      <x:c r="A175" s="45" t="n">
        <x:v>174</x:v>
      </x:c>
      <x:c r="B175" s="45" t="n">
        <x:v>226</x:v>
      </x:c>
      <x:c r="C175" s="45" t="n">
        <x:v>0</x:v>
      </x:c>
      <x:c r="D175" s="43" t="str">
        <x:v>Hirosawa (1975)</x:v>
      </x:c>
      <x:c r="E175" s="43" t="str">
        <x:v>Sugano_2-8</x:v>
      </x:c>
      <x:c r="F175" s="45" t="n">
        <x:v>3</x:v>
      </x:c>
      <x:c r="G175" s="44" t="str">
        <x:v>Flex-Shear</x:v>
      </x:c>
      <x:c r="H175" s="46" t="n">
        <x:v>0.4090909090909091</x:v>
      </x:c>
      <x:c r="I175" s="46" t="n">
        <x:v>33</x:v>
      </x:c>
      <x:c r="J175" s="46" t="n">
        <x:v>0.1462263157894737</x:v>
      </x:c>
      <x:c r="K175" s="46" t="n">
        <x:v>0.1405291866028708</x:v>
      </x:c>
      <x:c r="L175" s="46" t="n">
        <x:v>0.3361306220095694</x:v>
      </x:c>
      <x:c r="M175" s="46" t="n">
        <x:v>0.010771980073582708</x:v>
      </x:c>
      <x:c r="N175" s="46" t="n">
        <x:v>0</x:v>
      </x:c>
      <x:c r="O175" s="48" t="str">
        <x:v>B</x:v>
      </x:c>
      <x:c r="P175" s="46" t="n">
        <x:v>0.2</x:v>
      </x:c>
      <x:c r="Q175" s="45" t="n">
        <x:v>1</x:v>
      </x:c>
    </x:row>
    <x:row r="176">
      <x:c r="A176" s="45" t="n">
        <x:v>175</x:v>
      </x:c>
      <x:c r="B176" s="45" t="n">
        <x:v>227</x:v>
      </x:c>
      <x:c r="C176" s="45" t="n">
        <x:v>0</x:v>
      </x:c>
      <x:c r="D176" s="43" t="str">
        <x:v>Dazio et al. (2009)</x:v>
      </x:c>
      <x:c r="E176" s="43" t="str">
        <x:v>WSH1</x:v>
      </x:c>
      <x:c r="F176" s="45" t="n">
        <x:v>1</x:v>
      </x:c>
      <x:c r="G176" s="44" t="str">
        <x:v>Flexural</x:v>
      </x:c>
      <x:c r="H176" s="46" t="n">
        <x:v>2.28</x:v>
      </x:c>
      <x:c r="I176" s="46" t="n">
        <x:v>13.333333333333334</x:v>
      </x:c>
      <x:c r="J176" s="46" t="n">
        <x:v>0.03890666666666667</x:v>
      </x:c>
      <x:c r="K176" s="46" t="n">
        <x:v>0.03242222222222223</x:v>
      </x:c>
      <x:c r="L176" s="46" t="n">
        <x:v>0.1605413333333333</x:v>
      </x:c>
      <x:c r="M176" s="46" t="n">
        <x:v>0.13747022222222222</x:v>
      </x:c>
      <x:c r="N176" s="46" t="n">
        <x:v>0.05103703703703704</x:v>
      </x:c>
      <x:c r="O176" s="48" t="str">
        <x:v>R</x:v>
      </x:c>
      <x:c r="P176" s="46" t="n">
        <x:v>0</x:v>
      </x:c>
      <x:c r="Q176" s="45" t="n">
        <x:v>1</x:v>
      </x:c>
    </x:row>
    <x:row r="177">
      <x:c r="A177" s="45" t="n">
        <x:v>176</x:v>
      </x:c>
      <x:c r="B177" s="45" t="n">
        <x:v>228</x:v>
      </x:c>
      <x:c r="C177" s="45" t="n">
        <x:v>0</x:v>
      </x:c>
      <x:c r="D177" s="43" t="str">
        <x:v>Dazio et al. (2009)</x:v>
      </x:c>
      <x:c r="E177" s="43" t="str">
        <x:v>WSH2</x:v>
      </x:c>
      <x:c r="F177" s="45" t="n">
        <x:v>1</x:v>
      </x:c>
      <x:c r="G177" s="44" t="str">
        <x:v>Flexural</x:v>
      </x:c>
      <x:c r="H177" s="46" t="n">
        <x:v>2.28</x:v>
      </x:c>
      <x:c r="I177" s="46" t="n">
        <x:v>13.333333333333334</x:v>
      </x:c>
      <x:c r="J177" s="46" t="n">
        <x:v>0.035918518518518516</x:v>
      </x:c>
      <x:c r="K177" s="46" t="n">
        <x:v>0.0299320987654321</x:v>
      </x:c>
      <x:c r="L177" s="46" t="n">
        <x:v>0.19004740740740741</x:v>
      </x:c>
      <x:c r="M177" s="46" t="n">
        <x:v>0.13050395061728395</x:v>
      </x:c>
      <x:c r="N177" s="46" t="n">
        <x:v>0.056872427983539094</x:v>
      </x:c>
      <x:c r="O177" s="48" t="str">
        <x:v>R</x:v>
      </x:c>
      <x:c r="P177" s="46" t="n">
        <x:v>0</x:v>
      </x:c>
      <x:c r="Q177" s="45" t="n">
        <x:v>1</x:v>
      </x:c>
    </x:row>
    <x:row r="178">
      <x:c r="A178" s="45" t="n">
        <x:v>177</x:v>
      </x:c>
      <x:c r="B178" s="45" t="n">
        <x:v>229</x:v>
      </x:c>
      <x:c r="C178" s="45" t="n">
        <x:v>0</x:v>
      </x:c>
      <x:c r="D178" s="43" t="str">
        <x:v>Dazio et al. (2009)</x:v>
      </x:c>
      <x:c r="E178" s="43" t="str">
        <x:v>WSH3</x:v>
      </x:c>
      <x:c r="F178" s="45" t="n">
        <x:v>1</x:v>
      </x:c>
      <x:c r="G178" s="44" t="str">
        <x:v>Flexural</x:v>
      </x:c>
      <x:c r="H178" s="46" t="n">
        <x:v>2.28</x:v>
      </x:c>
      <x:c r="I178" s="46" t="n">
        <x:v>13.333333333333334</x:v>
      </x:c>
      <x:c r="J178" s="46" t="n">
        <x:v>0.07841020408163266</x:v>
      </x:c>
      <x:c r="K178" s="46" t="n">
        <x:v>0.031186224489795914</x:v>
      </x:c>
      <x:c r="L178" s="46" t="n">
        <x:v>0.23610714285714285</x:v>
      </x:c>
      <x:c r="M178" s="46" t="n">
        <x:v>0.12474489795918366</x:v>
      </x:c>
      <x:c r="N178" s="46" t="n">
        <x:v>0.058333333333333334</x:v>
      </x:c>
      <x:c r="O178" s="48" t="str">
        <x:v>R</x:v>
      </x:c>
      <x:c r="P178" s="46" t="n">
        <x:v>0</x:v>
      </x:c>
      <x:c r="Q178" s="45" t="n">
        <x:v>1</x:v>
      </x:c>
    </x:row>
    <x:row r="179">
      <x:c r="A179" s="45" t="n">
        <x:v>178</x:v>
      </x:c>
      <x:c r="B179" s="45" t="n">
        <x:v>230</x:v>
      </x:c>
      <x:c r="C179" s="45" t="n">
        <x:v>0</x:v>
      </x:c>
      <x:c r="D179" s="43" t="str">
        <x:v>Dazio et al. (2009)</x:v>
      </x:c>
      <x:c r="E179" s="43" t="str">
        <x:v>WSH4</x:v>
      </x:c>
      <x:c r="F179" s="45" t="n">
        <x:v>1</x:v>
      </x:c>
      <x:c r="G179" s="44" t="str">
        <x:v>Flexural</x:v>
      </x:c>
      <x:c r="H179" s="46" t="n">
        <x:v>2.28</x:v>
      </x:c>
      <x:c r="I179" s="46" t="n">
        <x:v>13.333333333333334</x:v>
      </x:c>
      <x:c r="J179" s="46" t="n">
        <x:v>0.07574523227383864</x:v>
      </x:c>
      <x:c r="K179" s="46" t="n">
        <x:v>0.03171760391198044</x:v>
      </x:c>
      <x:c r="L179" s="46" t="n">
        <x:v>0.21688019559902202</x:v>
      </x:c>
      <x:c r="M179" s="46" t="n">
        <x:v>0</x:v>
      </x:c>
      <x:c r="N179" s="46" t="n">
        <x:v>0.05664221678891606</x:v>
      </x:c>
      <x:c r="O179" s="48" t="str">
        <x:v>R</x:v>
      </x:c>
      <x:c r="P179" s="46" t="n">
        <x:v>0</x:v>
      </x:c>
      <x:c r="Q179" s="45" t="n">
        <x:v>1</x:v>
      </x:c>
    </x:row>
    <x:row r="180">
      <x:c r="A180" s="45" t="n">
        <x:v>179</x:v>
      </x:c>
      <x:c r="B180" s="45" t="n">
        <x:v>231</x:v>
      </x:c>
      <x:c r="C180" s="45" t="n">
        <x:v>0</x:v>
      </x:c>
      <x:c r="D180" s="43" t="str">
        <x:v>Dazio et al. (2009)</x:v>
      </x:c>
      <x:c r="E180" s="43" t="str">
        <x:v>WSH5</x:v>
      </x:c>
      <x:c r="F180" s="45" t="n">
        <x:v>1</x:v>
      </x:c>
      <x:c r="G180" s="44" t="str">
        <x:v>Flexural</x:v>
      </x:c>
      <x:c r="H180" s="46" t="n">
        <x:v>2.28</x:v>
      </x:c>
      <x:c r="I180" s="46" t="n">
        <x:v>13.333333333333334</x:v>
      </x:c>
      <x:c r="J180" s="46" t="n">
        <x:v>0.036580417754569196</x:v>
      </x:c>
      <x:c r="K180" s="46" t="n">
        <x:v>0.03387075718015666</x:v>
      </x:c>
      <x:c r="L180" s="46" t="n">
        <x:v>0.10210939947780681</x:v>
      </x:c>
      <x:c r="M180" s="46" t="n">
        <x:v>0.15851514360313318</x:v>
      </x:c>
      <x:c r="N180" s="46" t="n">
        <x:v>0.12828546562228024</x:v>
      </x:c>
      <x:c r="O180" s="48" t="str">
        <x:v>R</x:v>
      </x:c>
      <x:c r="P180" s="46" t="n">
        <x:v>0</x:v>
      </x:c>
      <x:c r="Q180" s="45" t="n">
        <x:v>1</x:v>
      </x:c>
    </x:row>
    <x:row r="181">
      <x:c r="A181" s="45" t="n">
        <x:v>180</x:v>
      </x:c>
      <x:c r="B181" s="45" t="n">
        <x:v>232</x:v>
      </x:c>
      <x:c r="C181" s="45" t="n">
        <x:v>0</x:v>
      </x:c>
      <x:c r="D181" s="43" t="str">
        <x:v>Dazio et al. (2009)</x:v>
      </x:c>
      <x:c r="E181" s="43" t="str">
        <x:v>WSH6</x:v>
      </x:c>
      <x:c r="F181" s="45" t="n">
        <x:v>1</x:v>
      </x:c>
      <x:c r="G181" s="44" t="str">
        <x:v>Flexural</x:v>
      </x:c>
      <x:c r="H181" s="46" t="n">
        <x:v>2.26</x:v>
      </x:c>
      <x:c r="I181" s="46" t="n">
        <x:v>13.333333333333334</x:v>
      </x:c>
      <x:c r="J181" s="46" t="n">
        <x:v>0.06912236842105264</x:v>
      </x:c>
      <x:c r="K181" s="46" t="n">
        <x:v>0.028448464912280702</x:v>
      </x:c>
      <x:c r="L181" s="46" t="n">
        <x:v>0.19452631578947369</x:v>
      </x:c>
      <x:c r="M181" s="46" t="n">
        <x:v>0.16841491228070174</x:v>
      </x:c>
      <x:c r="N181" s="46" t="n">
        <x:v>0.10789473684210525</x:v>
      </x:c>
      <x:c r="O181" s="48" t="str">
        <x:v>R</x:v>
      </x:c>
      <x:c r="P181" s="46" t="n">
        <x:v>0</x:v>
      </x:c>
      <x:c r="Q181" s="45" t="n">
        <x:v>1</x:v>
      </x:c>
    </x:row>
    <x:row r="182">
      <x:c r="A182" s="45" t="n">
        <x:v>181</x:v>
      </x:c>
      <x:c r="B182" s="45" t="n">
        <x:v>233</x:v>
      </x:c>
      <x:c r="C182" s="45" t="n">
        <x:v>0</x:v>
      </x:c>
      <x:c r="D182" s="43" t="str">
        <x:v>Villalobos (2014)</x:v>
      </x:c>
      <x:c r="E182" s="43" t="str">
        <x:v>WMCC</x:v>
      </x:c>
      <x:c r="F182" s="45" t="n">
        <x:v>1</x:v>
      </x:c>
      <x:c r="G182" s="44" t="str">
        <x:v>Flexural</x:v>
      </x:c>
      <x:c r="H182" s="46" t="n">
        <x:v>2.175196850393701</x:v>
      </x:c>
      <x:c r="I182" s="46" t="n">
        <x:v>7.5</x:v>
      </x:c>
      <x:c r="J182" s="46" t="n">
        <x:v>0.05654723127035831</x:v>
      </x:c>
      <x:c r="K182" s="46" t="n">
        <x:v>0.09511237785016285</x:v>
      </x:c>
      <x:c r="L182" s="46" t="n">
        <x:v>0.7373941368078176</x:v>
      </x:c>
      <x:c r="M182" s="46" t="n">
        <x:v>0.2127058631921824</x:v>
      </x:c>
      <x:c r="N182" s="46" t="n">
        <x:v>0.09357695896635561</x:v>
      </x:c>
      <x:c r="O182" s="48" t="str">
        <x:v>R</x:v>
      </x:c>
      <x:c r="P182" s="46" t="n">
        <x:v>0</x:v>
      </x:c>
      <x:c r="Q182" s="45" t="n">
        <x:v>1</x:v>
      </x:c>
    </x:row>
    <x:row r="183">
      <x:c r="A183" s="45" t="n">
        <x:v>182</x:v>
      </x:c>
      <x:c r="B183" s="45" t="n">
        <x:v>234</x:v>
      </x:c>
      <x:c r="C183" s="45" t="n">
        <x:v>0</x:v>
      </x:c>
      <x:c r="D183" s="43" t="str">
        <x:v>Villalobos (2014)</x:v>
      </x:c>
      <x:c r="E183" s="43" t="str">
        <x:v>WMCN</x:v>
      </x:c>
      <x:c r="F183" s="45" t="n">
        <x:v>1</x:v>
      </x:c>
      <x:c r="G183" s="44" t="str">
        <x:v>Flexural</x:v>
      </x:c>
      <x:c r="H183" s="46" t="n">
        <x:v>2.175196850393701</x:v>
      </x:c>
      <x:c r="I183" s="46" t="n">
        <x:v>7.5</x:v>
      </x:c>
      <x:c r="J183" s="46" t="n">
        <x:v>0.057293729372937294</x:v>
      </x:c>
      <x:c r="K183" s="46" t="n">
        <x:v>0.09636798679867985</x:v>
      </x:c>
      <x:c r="L183" s="46" t="n">
        <x:v>0.7471287128712871</x:v>
      </x:c>
      <x:c r="M183" s="46" t="n">
        <x:v>0</x:v>
      </x:c>
      <x:c r="N183" s="46" t="n">
        <x:v>0.09481229835865074</x:v>
      </x:c>
      <x:c r="O183" s="48" t="str">
        <x:v>R</x:v>
      </x:c>
      <x:c r="P183" s="46" t="n">
        <x:v>0</x:v>
      </x:c>
      <x:c r="Q183" s="45" t="n">
        <x:v>1</x:v>
      </x:c>
    </x:row>
    <x:row r="184">
      <x:c r="A184" s="45" t="n">
        <x:v>183</x:v>
      </x:c>
      <x:c r="B184" s="45" t="n">
        <x:v>235</x:v>
      </x:c>
      <x:c r="C184" s="45" t="n">
        <x:v>0</x:v>
      </x:c>
      <x:c r="D184" s="43" t="str">
        <x:v>Villalobos (2014)</x:v>
      </x:c>
      <x:c r="E184" s="43" t="str">
        <x:v>W60N</x:v>
      </x:c>
      <x:c r="F184" s="45" t="n">
        <x:v>2</x:v>
      </x:c>
      <x:c r="G184" s="44" t="str">
        <x:v>Shear</x:v>
      </x:c>
      <x:c r="H184" s="46" t="n">
        <x:v>2.175196850393701</x:v>
      </x:c>
      <x:c r="I184" s="46" t="n">
        <x:v>7.5</x:v>
      </x:c>
      <x:c r="J184" s="46" t="n">
        <x:v>0.05136094674556214</x:v>
      </x:c>
      <x:c r="K184" s="46" t="n">
        <x:v>0.08638905325443787</x:v>
      </x:c>
      <x:c r="L184" s="46" t="n">
        <x:v>0.6697633136094676</x:v>
      </x:c>
      <x:c r="M184" s="46" t="n">
        <x:v>0</x:v>
      </x:c>
      <x:c r="N184" s="46" t="n">
        <x:v>0.0849944568126366</x:v>
      </x:c>
      <x:c r="O184" s="48" t="str">
        <x:v>R</x:v>
      </x:c>
      <x:c r="P184" s="46" t="n">
        <x:v>0</x:v>
      </x:c>
      <x:c r="Q184" s="45" t="n">
        <x:v>1</x:v>
      </x:c>
    </x:row>
    <x:row r="185">
      <x:c r="A185" s="45" t="n">
        <x:v>184</x:v>
      </x:c>
      <x:c r="B185" s="45" t="n">
        <x:v>236</x:v>
      </x:c>
      <x:c r="C185" s="45" t="n">
        <x:v>0</x:v>
      </x:c>
      <x:c r="D185" s="43" t="str">
        <x:v>Villalobos (2014)</x:v>
      </x:c>
      <x:c r="E185" s="43" t="str">
        <x:v>W60C</x:v>
      </x:c>
      <x:c r="F185" s="45" t="n">
        <x:v>2</x:v>
      </x:c>
      <x:c r="G185" s="44" t="str">
        <x:v>Shear</x:v>
      </x:c>
      <x:c r="H185" s="46" t="n">
        <x:v>2.175196850393701</x:v>
      </x:c>
      <x:c r="I185" s="46" t="n">
        <x:v>7.5</x:v>
      </x:c>
      <x:c r="J185" s="46" t="n">
        <x:v>0.05528662420382166</x:v>
      </x:c>
      <x:c r="K185" s="46" t="n">
        <x:v>0.0929920382165605</x:v>
      </x:c>
      <x:c r="L185" s="46" t="n">
        <x:v>0.720955414012739</x:v>
      </x:c>
      <x:c r="M185" s="46" t="n">
        <x:v>0.20796401273885348</x:v>
      </x:c>
      <x:c r="N185" s="46" t="n">
        <x:v>0.09149084841615023</x:v>
      </x:c>
      <x:c r="O185" s="48" t="str">
        <x:v>R</x:v>
      </x:c>
      <x:c r="P185" s="46" t="n">
        <x:v>0</x:v>
      </x:c>
      <x:c r="Q185" s="45" t="n">
        <x:v>1</x:v>
      </x:c>
    </x:row>
    <x:row r="186">
      <x:c r="A186" s="45" t="n">
        <x:v>185</x:v>
      </x:c>
      <x:c r="B186" s="45" t="n">
        <x:v>237</x:v>
      </x:c>
      <x:c r="C186" s="45" t="n">
        <x:v>0</x:v>
      </x:c>
      <x:c r="D186" s="43" t="str">
        <x:v>Villalobos (2014)</x:v>
      </x:c>
      <x:c r="E186" s="43" t="str">
        <x:v>W40C</x:v>
      </x:c>
      <x:c r="F186" s="45" t="n">
        <x:v>2</x:v>
      </x:c>
      <x:c r="G186" s="44" t="str">
        <x:v>Shear</x:v>
      </x:c>
      <x:c r="H186" s="46" t="n">
        <x:v>2.175196850393701</x:v>
      </x:c>
      <x:c r="I186" s="46" t="n">
        <x:v>7.5</x:v>
      </x:c>
      <x:c r="J186" s="46" t="n">
        <x:v>0.056</x:v>
      </x:c>
      <x:c r="K186" s="46" t="n">
        <x:v>0.09419193548387096</x:v>
      </x:c>
      <x:c r="L186" s="46" t="n">
        <x:v>0.7302580645161291</x:v>
      </x:c>
      <x:c r="M186" s="46" t="n">
        <x:v>0.2106474193548387</x:v>
      </x:c>
      <x:c r="N186" s="46" t="n">
        <x:v>0.09267137549248765</x:v>
      </x:c>
      <x:c r="O186" s="48" t="str">
        <x:v>R</x:v>
      </x:c>
      <x:c r="P186" s="46" t="n">
        <x:v>0</x:v>
      </x:c>
      <x:c r="Q186" s="45" t="n">
        <x:v>1</x:v>
      </x:c>
    </x:row>
    <x:row r="187">
      <x:c r="A187" s="45" t="n">
        <x:v>186</x:v>
      </x:c>
      <x:c r="B187" s="45" t="n">
        <x:v>238</x:v>
      </x:c>
      <x:c r="C187" s="45" t="n">
        <x:v>0</x:v>
      </x:c>
      <x:c r="D187" s="43" t="str">
        <x:v>Villalobos (2014)</x:v>
      </x:c>
      <x:c r="E187" s="43" t="str">
        <x:v>W60N2</x:v>
      </x:c>
      <x:c r="F187" s="45" t="n">
        <x:v>2</x:v>
      </x:c>
      <x:c r="G187" s="44" t="str">
        <x:v>Shear</x:v>
      </x:c>
      <x:c r="H187" s="46" t="n">
        <x:v>2.175196850393701</x:v>
      </x:c>
      <x:c r="I187" s="46" t="n">
        <x:v>7.5</x:v>
      </x:c>
      <x:c r="J187" s="46" t="n">
        <x:v>0.05476340694006309</x:v>
      </x:c>
      <x:c r="K187" s="46" t="n">
        <x:v>0.07896056782334385</x:v>
      </x:c>
      <x:c r="L187" s="46" t="n">
        <x:v>0.7249526813880127</x:v>
      </x:c>
      <x:c r="M187" s="46" t="n">
        <x:v>0</x:v>
      </x:c>
      <x:c r="N187" s="46" t="n">
        <x:v>0.0906250044248302</x:v>
      </x:c>
      <x:c r="O187" s="48" t="str">
        <x:v>R</x:v>
      </x:c>
      <x:c r="P187" s="46" t="n">
        <x:v>0</x:v>
      </x:c>
      <x:c r="Q187" s="45" t="n">
        <x:v>1</x:v>
      </x:c>
    </x:row>
    <x:row r="188">
      <x:c r="A188" s="45" t="n">
        <x:v>187</x:v>
      </x:c>
      <x:c r="B188" s="45" t="n">
        <x:v>239</x:v>
      </x:c>
      <x:c r="C188" s="45" t="n">
        <x:v>0</x:v>
      </x:c>
      <x:c r="D188" s="43" t="str">
        <x:v>Zhang and Wang (2000)</x:v>
      </x:c>
      <x:c r="E188" s="43" t="str">
        <x:v>SW7</x:v>
      </x:c>
      <x:c r="F188" s="45" t="n">
        <x:v>1</x:v>
      </x:c>
      <x:c r="G188" s="44" t="str">
        <x:v>Flexural</x:v>
      </x:c>
      <x:c r="H188" s="46" t="n">
        <x:v>2.142857142857143</x:v>
      </x:c>
      <x:c r="I188" s="46" t="n">
        <x:v>7</x:v>
      </x:c>
      <x:c r="J188" s="46" t="n">
        <x:v>0.05552989130434783</x:v>
      </x:c>
      <x:c r="K188" s="46" t="n">
        <x:v>0.08370923913043478</x:v>
      </x:c>
      <x:c r="L188" s="46" t="n">
        <x:v>0.09684782608695654</x:v>
      </x:c>
      <x:c r="M188" s="46" t="n">
        <x:v>0.9945652173913044</x:v>
      </x:c>
      <x:c r="N188" s="46" t="n">
        <x:v>0.19369565217391305</x:v>
      </x:c>
      <x:c r="O188" s="48" t="str">
        <x:v>R</x:v>
      </x:c>
      <x:c r="P188" s="46" t="n">
        <x:v>0</x:v>
      </x:c>
      <x:c r="Q188" s="45" t="n">
        <x:v>1</x:v>
      </x:c>
    </x:row>
    <x:row r="189">
      <x:c r="A189" s="45" t="n">
        <x:v>188</x:v>
      </x:c>
      <x:c r="B189" s="45" t="n">
        <x:v>240</x:v>
      </x:c>
      <x:c r="C189" s="45" t="n">
        <x:v>0</x:v>
      </x:c>
      <x:c r="D189" s="43" t="str">
        <x:v>Zhang and Wang (2000)</x:v>
      </x:c>
      <x:c r="E189" s="43" t="str">
        <x:v>SW8</x:v>
      </x:c>
      <x:c r="F189" s="45" t="n">
        <x:v>1</x:v>
      </x:c>
      <x:c r="G189" s="44" t="str">
        <x:v>Flexural</x:v>
      </x:c>
      <x:c r="H189" s="46" t="n">
        <x:v>2.142857142857143</x:v>
      </x:c>
      <x:c r="I189" s="46" t="n">
        <x:v>7</x:v>
      </x:c>
      <x:c r="J189" s="46" t="n">
        <x:v>0.05083333333333333</x:v>
      </x:c>
      <x:c r="K189" s="46" t="n">
        <x:v>0.07662935323383084</x:v>
      </x:c>
      <x:c r="L189" s="46" t="n">
        <x:v>0.06985074626865671</x:v>
      </x:c>
      <x:c r="M189" s="46" t="n">
        <x:v>0.9104477611940298</x:v>
      </x:c>
      <x:c r="N189" s="46" t="n">
        <x:v>0.2786069651741293</x:v>
      </x:c>
      <x:c r="O189" s="48" t="str">
        <x:v>R</x:v>
      </x:c>
      <x:c r="P189" s="46" t="n">
        <x:v>0</x:v>
      </x:c>
      <x:c r="Q189" s="45" t="n">
        <x:v>1</x:v>
      </x:c>
    </x:row>
    <x:row r="190">
      <x:c r="A190" s="45" t="n">
        <x:v>189</x:v>
      </x:c>
      <x:c r="B190" s="45" t="n">
        <x:v>241</x:v>
      </x:c>
      <x:c r="C190" s="45" t="n">
        <x:v>0</x:v>
      </x:c>
      <x:c r="D190" s="43" t="str">
        <x:v>Zhang and Wang (2000)</x:v>
      </x:c>
      <x:c r="E190" s="43" t="str">
        <x:v>SW9</x:v>
      </x:c>
      <x:c r="F190" s="45" t="n">
        <x:v>1</x:v>
      </x:c>
      <x:c r="G190" s="44" t="str">
        <x:v>Flexural</x:v>
      </x:c>
      <x:c r="H190" s="46" t="n">
        <x:v>2.142857142857143</x:v>
      </x:c>
      <x:c r="I190" s="46" t="n">
        <x:v>7</x:v>
      </x:c>
      <x:c r="J190" s="46" t="n">
        <x:v>0.04741299303944315</x:v>
      </x:c>
      <x:c r="K190" s="46" t="n">
        <x:v>0.07147331786542922</x:v>
      </x:c>
      <x:c r="L190" s="46" t="n">
        <x:v>0.15661252900232017</x:v>
      </x:c>
      <x:c r="M190" s="46" t="n">
        <x:v>0.5661252900232019</x:v>
      </x:c>
      <x:c r="N190" s="46" t="n">
        <x:v>0.197122969837587</x:v>
      </x:c>
      <x:c r="O190" s="48" t="str">
        <x:v>R</x:v>
      </x:c>
      <x:c r="P190" s="46" t="n">
        <x:v>0</x:v>
      </x:c>
      <x:c r="Q190" s="45" t="n">
        <x:v>1</x:v>
      </x:c>
    </x:row>
    <x:row r="191">
      <x:c r="A191" s="45" t="n">
        <x:v>190</x:v>
      </x:c>
      <x:c r="B191" s="45" t="n">
        <x:v>242</x:v>
      </x:c>
      <x:c r="C191" s="45" t="n">
        <x:v>0</x:v>
      </x:c>
      <x:c r="D191" s="43" t="str">
        <x:v>Zhang and Wang (2000)</x:v>
      </x:c>
      <x:c r="E191" s="43" t="str">
        <x:v>SRCW12</x:v>
      </x:c>
      <x:c r="F191" s="45" t="n">
        <x:v>1</x:v>
      </x:c>
      <x:c r="G191" s="44" t="str">
        <x:v>Flexural</x:v>
      </x:c>
      <x:c r="H191" s="46" t="n">
        <x:v>2.142857142857143</x:v>
      </x:c>
      <x:c r="I191" s="46" t="n">
        <x:v>7</x:v>
      </x:c>
      <x:c r="J191" s="46" t="n">
        <x:v>0.05889048991354466</x:v>
      </x:c>
      <x:c r="K191" s="46" t="n">
        <x:v>0.08877521613832852</x:v>
      </x:c>
      <x:c r="L191" s="46" t="n">
        <x:v>0.19047838616714693</x:v>
      </x:c>
      <x:c r="M191" s="46" t="n">
        <x:v>0.7031700288184438</x:v>
      </x:c>
      <x:c r="N191" s="46" t="n">
        <x:v>0.2834293948126801</x:v>
      </x:c>
      <x:c r="O191" s="48" t="str">
        <x:v>R</x:v>
      </x:c>
      <x:c r="P191" s="46" t="n">
        <x:v>0</x:v>
      </x:c>
      <x:c r="Q191" s="45" t="n">
        <x:v>1</x:v>
      </x:c>
    </x:row>
    <x:row r="192">
      <x:c r="A192" s="45" t="n">
        <x:v>191</x:v>
      </x:c>
      <x:c r="B192" s="45" t="n">
        <x:v>243</x:v>
      </x:c>
      <x:c r="C192" s="45" t="n">
        <x:v>0</x:v>
      </x:c>
      <x:c r="D192" s="43" t="str">
        <x:v>Hube et al. (2014)</x:v>
      </x:c>
      <x:c r="E192" s="43" t="str">
        <x:v>W4</x:v>
      </x:c>
      <x:c r="F192" s="45" t="n">
        <x:v>2</x:v>
      </x:c>
      <x:c r="G192" s="44" t="str">
        <x:v>Shear</x:v>
      </x:c>
      <x:c r="H192" s="46" t="n">
        <x:v>2.5</x:v>
      </x:c>
      <x:c r="I192" s="46" t="n">
        <x:v>9.333333333333334</x:v>
      </x:c>
      <x:c r="J192" s="46" t="n">
        <x:v>0.10896058394160585</x:v>
      </x:c>
      <x:c r="K192" s="46" t="n">
        <x:v>0.08795401459854015</x:v>
      </x:c>
      <x:c r="L192" s="46" t="n">
        <x:v>0.08390802919708029</x:v>
      </x:c>
      <x:c r="M192" s="46" t="n">
        <x:v>0</x:v>
      </x:c>
      <x:c r="N192" s="46" t="n">
        <x:v>0.15015641293013557</x:v>
      </x:c>
      <x:c r="O192" s="48" t="str">
        <x:v>R</x:v>
      </x:c>
      <x:c r="P192" s="46" t="n">
        <x:v>0</x:v>
      </x:c>
      <x:c r="Q192" s="45" t="n">
        <x:v>1</x:v>
      </x:c>
    </x:row>
    <x:row r="193">
      <x:c r="A193" s="45" t="n">
        <x:v>192</x:v>
      </x:c>
      <x:c r="B193" s="45" t="n">
        <x:v>244</x:v>
      </x:c>
      <x:c r="C193" s="45" t="n">
        <x:v>0</x:v>
      </x:c>
      <x:c r="D193" s="43" t="str">
        <x:v>Hube et al. (2014)</x:v>
      </x:c>
      <x:c r="E193" s="43" t="str">
        <x:v>W5</x:v>
      </x:c>
      <x:c r="F193" s="45" t="n">
        <x:v>1</x:v>
      </x:c>
      <x:c r="G193" s="44" t="str">
        <x:v>Flexural</x:v>
      </x:c>
      <x:c r="H193" s="46" t="n">
        <x:v>1.9</x:v>
      </x:c>
      <x:c r="I193" s="46" t="n">
        <x:v>7</x:v>
      </x:c>
      <x:c r="J193" s="46" t="n">
        <x:v>0.11709197080291972</x:v>
      </x:c>
      <x:c r="K193" s="46" t="n">
        <x:v>0.09777956204379562</x:v>
      </x:c>
      <x:c r="L193" s="46" t="n">
        <x:v>0.07705839416058394</x:v>
      </x:c>
      <x:c r="M193" s="46" t="n">
        <x:v>0</x:v>
      </x:c>
      <x:c r="N193" s="46" t="n">
        <x:v>0.14963503649635038</x:v>
      </x:c>
      <x:c r="O193" s="48" t="str">
        <x:v>R</x:v>
      </x:c>
      <x:c r="P193" s="46" t="n">
        <x:v>0</x:v>
      </x:c>
      <x:c r="Q193" s="45" t="n">
        <x:v>1</x:v>
      </x:c>
    </x:row>
    <x:row r="194">
      <x:c r="A194" s="45" t="n">
        <x:v>193</x:v>
      </x:c>
      <x:c r="B194" s="45" t="n">
        <x:v>245</x:v>
      </x:c>
      <x:c r="C194" s="45" t="n">
        <x:v>0</x:v>
      </x:c>
      <x:c r="D194" s="43" t="str">
        <x:v>Hube et al. (2014)</x:v>
      </x:c>
      <x:c r="E194" s="43" t="str">
        <x:v>W6</x:v>
      </x:c>
      <x:c r="F194" s="45" t="n">
        <x:v>1</x:v>
      </x:c>
      <x:c r="G194" s="44" t="str">
        <x:v>Flexural</x:v>
      </x:c>
      <x:c r="H194" s="46" t="n">
        <x:v>2.5</x:v>
      </x:c>
      <x:c r="I194" s="46" t="n">
        <x:v>7</x:v>
      </x:c>
      <x:c r="J194" s="46" t="n">
        <x:v>0.2179211678832117</x:v>
      </x:c>
      <x:c r="K194" s="46" t="n">
        <x:v>0.09777956204379562</x:v>
      </x:c>
      <x:c r="L194" s="46" t="n">
        <x:v>0</x:v>
      </x:c>
      <x:c r="M194" s="46" t="n">
        <x:v>0</x:v>
      </x:c>
      <x:c r="N194" s="46" t="n">
        <x:v>0.14963503649635038</x:v>
      </x:c>
      <x:c r="O194" s="48" t="str">
        <x:v>R</x:v>
      </x:c>
      <x:c r="P194" s="46" t="n">
        <x:v>0</x:v>
      </x:c>
      <x:c r="Q194" s="45" t="n">
        <x:v>1</x:v>
      </x:c>
    </x:row>
    <x:row r="195">
      <x:c r="A195" s="45" t="n">
        <x:v>194</x:v>
      </x:c>
      <x:c r="B195" s="45" t="n">
        <x:v>246</x:v>
      </x:c>
      <x:c r="C195" s="45" t="n">
        <x:v>0</x:v>
      </x:c>
      <x:c r="D195" s="43" t="str">
        <x:v>Hube et al. (2014)</x:v>
      </x:c>
      <x:c r="E195" s="43" t="str">
        <x:v>W7</x:v>
      </x:c>
      <x:c r="F195" s="45" t="n">
        <x:v>1</x:v>
      </x:c>
      <x:c r="G195" s="44" t="str">
        <x:v>Flexural</x:v>
      </x:c>
      <x:c r="H195" s="46" t="n">
        <x:v>2.5</x:v>
      </x:c>
      <x:c r="I195" s="46" t="n">
        <x:v>7</x:v>
      </x:c>
      <x:c r="J195" s="46" t="n">
        <x:v>0.11709197080291972</x:v>
      </x:c>
      <x:c r="K195" s="46" t="n">
        <x:v>0.09777956204379562</x:v>
      </x:c>
      <x:c r="L195" s="46" t="n">
        <x:v>0.07705839416058394</x:v>
      </x:c>
      <x:c r="M195" s="46" t="n">
        <x:v>0</x:v>
      </x:c>
      <x:c r="N195" s="46" t="n">
        <x:v>0.14963503649635038</x:v>
      </x:c>
      <x:c r="O195" s="48" t="str">
        <x:v>R</x:v>
      </x:c>
      <x:c r="P195" s="46" t="n">
        <x:v>0</x:v>
      </x:c>
      <x:c r="Q195" s="45" t="n">
        <x:v>1</x:v>
      </x:c>
    </x:row>
    <x:row r="196">
      <x:c r="A196" s="45" t="n">
        <x:v>195</x:v>
      </x:c>
      <x:c r="B196" s="45" t="n">
        <x:v>247</x:v>
      </x:c>
      <x:c r="C196" s="45" t="n">
        <x:v>0</x:v>
      </x:c>
      <x:c r="D196" s="43" t="str">
        <x:v>Hube et al. (2014)</x:v>
      </x:c>
      <x:c r="E196" s="43" t="str">
        <x:v>W8</x:v>
      </x:c>
      <x:c r="F196" s="45" t="n">
        <x:v>1</x:v>
      </x:c>
      <x:c r="G196" s="44" t="str">
        <x:v>Flexural</x:v>
      </x:c>
      <x:c r="H196" s="46" t="n">
        <x:v>2.5</x:v>
      </x:c>
      <x:c r="I196" s="46" t="n">
        <x:v>7</x:v>
      </x:c>
      <x:c r="J196" s="46" t="n">
        <x:v>0.11709197080291972</x:v>
      </x:c>
      <x:c r="K196" s="46" t="n">
        <x:v>0.14222481751824817</x:v>
      </x:c>
      <x:c r="L196" s="46" t="n">
        <x:v>0.07705839416058394</x:v>
      </x:c>
      <x:c r="M196" s="46" t="n">
        <x:v>0.25778248175182483</x:v>
      </x:c>
      <x:c r="N196" s="46" t="n">
        <x:v>0.14963503649635038</x:v>
      </x:c>
      <x:c r="O196" s="48" t="str">
        <x:v>R</x:v>
      </x:c>
      <x:c r="P196" s="46" t="n">
        <x:v>0</x:v>
      </x:c>
      <x:c r="Q196" s="45" t="n">
        <x:v>1</x:v>
      </x:c>
    </x:row>
    <x:row r="197">
      <x:c r="A197" s="45" t="n">
        <x:v>196</x:v>
      </x:c>
      <x:c r="B197" s="45" t="n">
        <x:v>248</x:v>
      </x:c>
      <x:c r="C197" s="45" t="n">
        <x:v>0</x:v>
      </x:c>
      <x:c r="D197" s="43" t="str">
        <x:v>Hube et al. (2014)</x:v>
      </x:c>
      <x:c r="E197" s="43" t="str">
        <x:v>W9</x:v>
      </x:c>
      <x:c r="F197" s="45" t="n">
        <x:v>1</x:v>
      </x:c>
      <x:c r="G197" s="44" t="str">
        <x:v>Flexural</x:v>
      </x:c>
      <x:c r="H197" s="46" t="n">
        <x:v>2.5</x:v>
      </x:c>
      <x:c r="I197" s="46" t="n">
        <x:v>7</x:v>
      </x:c>
      <x:c r="J197" s="46" t="n">
        <x:v>0.11709197080291972</x:v>
      </x:c>
      <x:c r="K197" s="46" t="n">
        <x:v>0.12444671532846716</x:v>
      </x:c>
      <x:c r="L197" s="46" t="n">
        <x:v>0.07705839416058394</x:v>
      </x:c>
      <x:c r="M197" s="46" t="n">
        <x:v>0</x:v>
      </x:c>
      <x:c r="N197" s="46" t="n">
        <x:v>0.14963503649635038</x:v>
      </x:c>
      <x:c r="O197" s="48" t="str">
        <x:v>R</x:v>
      </x:c>
      <x:c r="P197" s="46" t="n">
        <x:v>0</x:v>
      </x:c>
      <x:c r="Q197" s="45" t="n">
        <x:v>1</x:v>
      </x:c>
    </x:row>
    <x:row r="198">
      <x:c r="A198" s="45" t="n">
        <x:v>197</x:v>
      </x:c>
      <x:c r="B198" s="45" t="n">
        <x:v>249</x:v>
      </x:c>
      <x:c r="C198" s="45" t="n">
        <x:v>0</x:v>
      </x:c>
      <x:c r="D198" s="43" t="str">
        <x:v>Hidalgo et al. (2002)</x:v>
      </x:c>
      <x:c r="E198" s="43" t="n">
        <x:v>1</x:v>
      </x:c>
      <x:c r="F198" s="45" t="n">
        <x:v>3</x:v>
      </x:c>
      <x:c r="G198" s="44" t="str">
        <x:v>Flex-Shear</x:v>
      </x:c>
      <x:c r="H198" s="46" t="n">
        <x:v>1</x:v>
      </x:c>
      <x:c r="I198" s="46" t="n">
        <x:v>8.333333333333334</x:v>
      </x:c>
      <x:c r="J198" s="46" t="n">
        <x:v>0.050515463917525774</x:v>
      </x:c>
      <x:c r="K198" s="46" t="n">
        <x:v>0.0262680412371134</x:v>
      </x:c>
      <x:c r="L198" s="46" t="n">
        <x:v>0.9541809851088201</x:v>
      </x:c>
      <x:c r="M198" s="46" t="n">
        <x:v>0.0262680412371134</x:v>
      </x:c>
      <x:c r="N198" s="46" t="n">
        <x:v>0</x:v>
      </x:c>
      <x:c r="O198" s="48" t="str">
        <x:v>R</x:v>
      </x:c>
      <x:c r="P198" s="46" t="n">
        <x:v>0</x:v>
      </x:c>
      <x:c r="Q198" s="45" t="n">
        <x:v>1</x:v>
      </x:c>
    </x:row>
    <x:row r="199">
      <x:c r="A199" s="45" t="n">
        <x:v>198</x:v>
      </x:c>
      <x:c r="B199" s="45" t="n">
        <x:v>250</x:v>
      </x:c>
      <x:c r="C199" s="45" t="n">
        <x:v>0</x:v>
      </x:c>
      <x:c r="D199" s="43" t="str">
        <x:v>Hidalgo et al. (2002)</x:v>
      </x:c>
      <x:c r="E199" s="43" t="n">
        <x:v>2</x:v>
      </x:c>
      <x:c r="F199" s="45" t="n">
        <x:v>3</x:v>
      </x:c>
      <x:c r="G199" s="44" t="str">
        <x:v>Flex-Shear</x:v>
      </x:c>
      <x:c r="H199" s="46" t="n">
        <x:v>1</x:v>
      </x:c>
      <x:c r="I199" s="46" t="n">
        <x:v>8.333333333333334</x:v>
      </x:c>
      <x:c r="J199" s="46" t="n">
        <x:v>0.05127551020408164</x:v>
      </x:c>
      <x:c r="K199" s="46" t="n">
        <x:v>0.05127551020408164</x:v>
      </x:c>
      <x:c r="L199" s="46" t="n">
        <x:v>0.9685374149659863</x:v>
      </x:c>
      <x:c r="M199" s="46" t="n">
        <x:v>0.05127551020408164</x:v>
      </x:c>
      <x:c r="N199" s="46" t="n">
        <x:v>0</x:v>
      </x:c>
      <x:c r="O199" s="48" t="str">
        <x:v>R</x:v>
      </x:c>
      <x:c r="P199" s="46" t="n">
        <x:v>0</x:v>
      </x:c>
      <x:c r="Q199" s="45" t="n">
        <x:v>1</x:v>
      </x:c>
    </x:row>
    <x:row r="200">
      <x:c r="A200" s="45" t="n">
        <x:v>199</x:v>
      </x:c>
      <x:c r="B200" s="45" t="n">
        <x:v>251</x:v>
      </x:c>
      <x:c r="C200" s="45" t="n">
        <x:v>0</x:v>
      </x:c>
      <x:c r="D200" s="43" t="str">
        <x:v>Hidalgo et al. (2002)</x:v>
      </x:c>
      <x:c r="E200" s="43" t="n">
        <x:v>4</x:v>
      </x:c>
      <x:c r="F200" s="45" t="n">
        <x:v>3</x:v>
      </x:c>
      <x:c r="G200" s="44" t="str">
        <x:v>Flex-Shear</x:v>
      </x:c>
      <x:c r="H200" s="46" t="n">
        <x:v>1</x:v>
      </x:c>
      <x:c r="I200" s="46" t="n">
        <x:v>8.333333333333334</x:v>
      </x:c>
      <x:c r="J200" s="46" t="n">
        <x:v>0.05153846153846155</x:v>
      </x:c>
      <x:c r="K200" s="46" t="n">
        <x:v>0.07833846153846154</x:v>
      </x:c>
      <x:c r="L200" s="46" t="n">
        <x:v>1.2121082621082622</x:v>
      </x:c>
      <x:c r="M200" s="46" t="n">
        <x:v>0.07833846153846154</x:v>
      </x:c>
      <x:c r="N200" s="46" t="n">
        <x:v>0</x:v>
      </x:c>
      <x:c r="O200" s="48" t="str">
        <x:v>R</x:v>
      </x:c>
      <x:c r="P200" s="46" t="n">
        <x:v>0</x:v>
      </x:c>
      <x:c r="Q200" s="45" t="n">
        <x:v>1</x:v>
      </x:c>
    </x:row>
    <x:row r="201">
      <x:c r="A201" s="45" t="n">
        <x:v>200</x:v>
      </x:c>
      <x:c r="B201" s="45" t="n">
        <x:v>252</x:v>
      </x:c>
      <x:c r="C201" s="45" t="n">
        <x:v>0</x:v>
      </x:c>
      <x:c r="D201" s="43" t="str">
        <x:v>Hidalgo et al. (2002)</x:v>
      </x:c>
      <x:c r="E201" s="43" t="n">
        <x:v>6</x:v>
      </x:c>
      <x:c r="F201" s="45" t="n">
        <x:v>3</x:v>
      </x:c>
      <x:c r="G201" s="44" t="str">
        <x:v>Flex-Shear</x:v>
      </x:c>
      <x:c r="H201" s="46" t="n">
        <x:v>0.6923076923076923</x:v>
      </x:c>
      <x:c r="I201" s="46" t="n">
        <x:v>10.833333333333334</x:v>
      </x:c>
      <x:c r="J201" s="46" t="n">
        <x:v>0.046386363636363635</x:v>
      </x:c>
      <x:c r="K201" s="46" t="n">
        <x:v>0.023193181818181818</x:v>
      </x:c>
      <x:c r="L201" s="46" t="n">
        <x:v>0.8424873737373737</x:v>
      </x:c>
      <x:c r="M201" s="46" t="n">
        <x:v>0.023193181818181818</x:v>
      </x:c>
      <x:c r="N201" s="46" t="n">
        <x:v>0</x:v>
      </x:c>
      <x:c r="O201" s="48" t="str">
        <x:v>R</x:v>
      </x:c>
      <x:c r="P201" s="46" t="n">
        <x:v>0</x:v>
      </x:c>
      <x:c r="Q201" s="45" t="n">
        <x:v>1</x:v>
      </x:c>
    </x:row>
    <x:row r="202">
      <x:c r="A202" s="45" t="n">
        <x:v>201</x:v>
      </x:c>
      <x:c r="B202" s="45" t="n">
        <x:v>253</x:v>
      </x:c>
      <x:c r="C202" s="45" t="n">
        <x:v>0</x:v>
      </x:c>
      <x:c r="D202" s="43" t="str">
        <x:v>Hidalgo et al. (2002)</x:v>
      </x:c>
      <x:c r="E202" s="43" t="n">
        <x:v>7</x:v>
      </x:c>
      <x:c r="F202" s="45" t="n">
        <x:v>3</x:v>
      </x:c>
      <x:c r="G202" s="44" t="str">
        <x:v>Flex-Shear</x:v>
      </x:c>
      <x:c r="H202" s="46" t="n">
        <x:v>0.6923076923076923</x:v>
      </x:c>
      <x:c r="I202" s="46" t="n">
        <x:v>10.833333333333334</x:v>
      </x:c>
      <x:c r="J202" s="46" t="n">
        <x:v>0.03382872928176795</x:v>
      </x:c>
      <x:c r="K202" s="46" t="n">
        <x:v>0.06505524861878452</x:v>
      </x:c>
      <x:c r="L202" s="46" t="n">
        <x:v>1.2288213627992632</x:v>
      </x:c>
      <x:c r="M202" s="46" t="n">
        <x:v>0.06505524861878452</x:v>
      </x:c>
      <x:c r="N202" s="46" t="n">
        <x:v>0</x:v>
      </x:c>
      <x:c r="O202" s="48" t="str">
        <x:v>R</x:v>
      </x:c>
      <x:c r="P202" s="46" t="n">
        <x:v>0</x:v>
      </x:c>
      <x:c r="Q202" s="45" t="n">
        <x:v>1</x:v>
      </x:c>
    </x:row>
    <x:row r="203">
      <x:c r="A203" s="45" t="n">
        <x:v>202</x:v>
      </x:c>
      <x:c r="B203" s="45" t="n">
        <x:v>254</x:v>
      </x:c>
      <x:c r="C203" s="45" t="n">
        <x:v>0</x:v>
      </x:c>
      <x:c r="D203" s="43" t="str">
        <x:v>Hidalgo et al. (2002)</x:v>
      </x:c>
      <x:c r="E203" s="43" t="n">
        <x:v>8</x:v>
      </x:c>
      <x:c r="F203" s="45" t="n">
        <x:v>3</x:v>
      </x:c>
      <x:c r="G203" s="44" t="str">
        <x:v>Flex-Shear</x:v>
      </x:c>
      <x:c r="H203" s="46" t="n">
        <x:v>0.6923076923076923</x:v>
      </x:c>
      <x:c r="I203" s="46" t="n">
        <x:v>10.833333333333334</x:v>
      </x:c>
      <x:c r="J203" s="46" t="n">
        <x:v>0.078</x:v>
      </x:c>
      <x:c r="K203" s="46" t="n">
        <x:v>0.075</x:v>
      </x:c>
      <x:c r="L203" s="46" t="n">
        <x:v>1.4166666666666667</x:v>
      </x:c>
      <x:c r="M203" s="46" t="n">
        <x:v>0.075</x:v>
      </x:c>
      <x:c r="N203" s="46" t="n">
        <x:v>0</x:v>
      </x:c>
      <x:c r="O203" s="48" t="str">
        <x:v>R</x:v>
      </x:c>
      <x:c r="P203" s="46" t="n">
        <x:v>0</x:v>
      </x:c>
      <x:c r="Q203" s="45" t="n">
        <x:v>1</x:v>
      </x:c>
    </x:row>
    <x:row r="204">
      <x:c r="A204" s="45" t="n">
        <x:v>203</x:v>
      </x:c>
      <x:c r="B204" s="45" t="n">
        <x:v>255</x:v>
      </x:c>
      <x:c r="C204" s="45" t="n">
        <x:v>0</x:v>
      </x:c>
      <x:c r="D204" s="43" t="str">
        <x:v>Hidalgo et al. (2002)</x:v>
      </x:c>
      <x:c r="E204" s="43" t="n">
        <x:v>9</x:v>
      </x:c>
      <x:c r="F204" s="45" t="n">
        <x:v>2</x:v>
      </x:c>
      <x:c r="G204" s="44" t="str">
        <x:v>Shear</x:v>
      </x:c>
      <x:c r="H204" s="46" t="n">
        <x:v>0.6923076923076923</x:v>
      </x:c>
      <x:c r="I204" s="46" t="n">
        <x:v>13</x:v>
      </x:c>
      <x:c r="J204" s="46" t="n">
        <x:v>0.054068181818181814</x:v>
      </x:c>
      <x:c r="K204" s="46" t="n">
        <x:v>0.054068181818181814</x:v>
      </x:c>
      <x:c r="L204" s="46" t="n">
        <x:v>1.2615909090909088</x:v>
      </x:c>
      <x:c r="M204" s="46" t="n">
        <x:v>0.054068181818181814</x:v>
      </x:c>
      <x:c r="N204" s="46" t="n">
        <x:v>0</x:v>
      </x:c>
      <x:c r="O204" s="48" t="str">
        <x:v>R</x:v>
      </x:c>
      <x:c r="P204" s="46" t="n">
        <x:v>0</x:v>
      </x:c>
      <x:c r="Q204" s="45" t="n">
        <x:v>1</x:v>
      </x:c>
    </x:row>
    <x:row r="205">
      <x:c r="A205" s="45" t="n">
        <x:v>204</x:v>
      </x:c>
      <x:c r="B205" s="45" t="n">
        <x:v>256</x:v>
      </x:c>
      <x:c r="C205" s="45" t="n">
        <x:v>0</x:v>
      </x:c>
      <x:c r="D205" s="43" t="str">
        <x:v>Hidalgo et al. (2002)</x:v>
      </x:c>
      <x:c r="E205" s="43" t="n">
        <x:v>10</x:v>
      </x:c>
      <x:c r="F205" s="45" t="n">
        <x:v>2</x:v>
      </x:c>
      <x:c r="G205" s="44" t="str">
        <x:v>Shear</x:v>
      </x:c>
      <x:c r="H205" s="46" t="n">
        <x:v>0.6923076923076923</x:v>
      </x:c>
      <x:c r="I205" s="46" t="n">
        <x:v>16.25</x:v>
      </x:c>
      <x:c r="J205" s="46" t="n">
        <x:v>0.05594512195121951</x:v>
      </x:c>
      <x:c r="K205" s="46" t="n">
        <x:v>0.05594512195121951</x:v>
      </x:c>
      <x:c r="L205" s="46" t="n">
        <x:v>1.7715955284552845</x:v>
      </x:c>
      <x:c r="M205" s="46" t="n">
        <x:v>0.05594512195121951</x:v>
      </x:c>
      <x:c r="N205" s="46" t="n">
        <x:v>0</x:v>
      </x:c>
      <x:c r="O205" s="48" t="str">
        <x:v>R</x:v>
      </x:c>
      <x:c r="P205" s="46" t="n">
        <x:v>0</x:v>
      </x:c>
      <x:c r="Q205" s="45" t="n">
        <x:v>1</x:v>
      </x:c>
    </x:row>
    <x:row r="206">
      <x:c r="A206" s="45" t="n">
        <x:v>205</x:v>
      </x:c>
      <x:c r="B206" s="45" t="n">
        <x:v>257</x:v>
      </x:c>
      <x:c r="C206" s="45" t="n">
        <x:v>0</x:v>
      </x:c>
      <x:c r="D206" s="43" t="str">
        <x:v>Hidalgo et al. (2002)</x:v>
      </x:c>
      <x:c r="E206" s="43" t="n">
        <x:v>11</x:v>
      </x:c>
      <x:c r="F206" s="45" t="n">
        <x:v>2</x:v>
      </x:c>
      <x:c r="G206" s="44" t="str">
        <x:v>Shear</x:v>
      </x:c>
      <x:c r="H206" s="46" t="n">
        <x:v>0.5</x:v>
      </x:c>
      <x:c r="I206" s="46" t="n">
        <x:v>14</x:v>
      </x:c>
      <x:c r="J206" s="46" t="n">
        <x:v>0.05774233128834355</x:v>
      </x:c>
      <x:c r="K206" s="46" t="n">
        <x:v>0.028871165644171776</x:v>
      </x:c>
      <x:c r="L206" s="46" t="n">
        <x:v>1.1844580777096114</x:v>
      </x:c>
      <x:c r="M206" s="46" t="n">
        <x:v>0.028871165644171776</x:v>
      </x:c>
      <x:c r="N206" s="46" t="n">
        <x:v>0</x:v>
      </x:c>
      <x:c r="O206" s="48" t="str">
        <x:v>R</x:v>
      </x:c>
      <x:c r="P206" s="46" t="n">
        <x:v>0</x:v>
      </x:c>
      <x:c r="Q206" s="45" t="n">
        <x:v>1</x:v>
      </x:c>
    </x:row>
    <x:row r="207">
      <x:c r="A207" s="45" t="n">
        <x:v>206</x:v>
      </x:c>
      <x:c r="B207" s="45" t="n">
        <x:v>258</x:v>
      </x:c>
      <x:c r="C207" s="45" t="n">
        <x:v>0</x:v>
      </x:c>
      <x:c r="D207" s="43" t="str">
        <x:v>Hidalgo et al. (2002)</x:v>
      </x:c>
      <x:c r="E207" s="43" t="n">
        <x:v>12</x:v>
      </x:c>
      <x:c r="F207" s="45" t="n">
        <x:v>2</x:v>
      </x:c>
      <x:c r="G207" s="44" t="str">
        <x:v>Shear</x:v>
      </x:c>
      <x:c r="H207" s="46" t="n">
        <x:v>0.5</x:v>
      </x:c>
      <x:c r="I207" s="46" t="n">
        <x:v>14</x:v>
      </x:c>
      <x:c r="J207" s="46" t="n">
        <x:v>0.027988235294117647</x:v>
      </x:c>
      <x:c r="K207" s="46" t="n">
        <x:v>0.055976470588235294</x:v>
      </x:c>
      <x:c r="L207" s="46" t="n">
        <x:v>1.148235294117647</x:v>
      </x:c>
      <x:c r="M207" s="46" t="n">
        <x:v>0.055976470588235294</x:v>
      </x:c>
      <x:c r="N207" s="46" t="n">
        <x:v>0</x:v>
      </x:c>
      <x:c r="O207" s="48" t="str">
        <x:v>R</x:v>
      </x:c>
      <x:c r="P207" s="46" t="n">
        <x:v>0</x:v>
      </x:c>
      <x:c r="Q207" s="45" t="n">
        <x:v>1</x:v>
      </x:c>
    </x:row>
    <x:row r="208">
      <x:c r="A208" s="45" t="n">
        <x:v>207</x:v>
      </x:c>
      <x:c r="B208" s="45" t="n">
        <x:v>259</x:v>
      </x:c>
      <x:c r="C208" s="45" t="n">
        <x:v>0</x:v>
      </x:c>
      <x:c r="D208" s="43" t="str">
        <x:v>Hidalgo et al. (2002)</x:v>
      </x:c>
      <x:c r="E208" s="43" t="n">
        <x:v>13</x:v>
      </x:c>
      <x:c r="F208" s="45" t="n">
        <x:v>2</x:v>
      </x:c>
      <x:c r="G208" s="44" t="str">
        <x:v>Shear</x:v>
      </x:c>
      <x:c r="H208" s="46" t="n">
        <x:v>0.5</x:v>
      </x:c>
      <x:c r="I208" s="46" t="n">
        <x:v>14</x:v>
      </x:c>
      <x:c r="J208" s="46" t="n">
        <x:v>0.05314917127071823</x:v>
      </x:c>
      <x:c r="K208" s="46" t="n">
        <x:v>0.05314917127071823</x:v>
      </x:c>
      <x:c r="L208" s="46" t="n">
        <x:v>1.0902394106813995</x:v>
      </x:c>
      <x:c r="M208" s="46" t="n">
        <x:v>0.05314917127071823</x:v>
      </x:c>
      <x:c r="N208" s="46" t="n">
        <x:v>0</x:v>
      </x:c>
      <x:c r="O208" s="48" t="str">
        <x:v>R</x:v>
      </x:c>
      <x:c r="P208" s="46" t="n">
        <x:v>0</x:v>
      </x:c>
      <x:c r="Q208" s="45" t="n">
        <x:v>1</x:v>
      </x:c>
    </x:row>
    <x:row r="209">
      <x:c r="A209" s="45" t="n">
        <x:v>208</x:v>
      </x:c>
      <x:c r="B209" s="45" t="n">
        <x:v>260</x:v>
      </x:c>
      <x:c r="C209" s="45" t="n">
        <x:v>0</x:v>
      </x:c>
      <x:c r="D209" s="43" t="str">
        <x:v>Hidalgo et al. (2002)</x:v>
      </x:c>
      <x:c r="E209" s="43" t="n">
        <x:v>14</x:v>
      </x:c>
      <x:c r="F209" s="45" t="n">
        <x:v>2</x:v>
      </x:c>
      <x:c r="G209" s="44" t="str">
        <x:v>Shear</x:v>
      </x:c>
      <x:c r="H209" s="46" t="n">
        <x:v>0.35294117647058826</x:v>
      </x:c>
      <x:c r="I209" s="46" t="n">
        <x:v>21.25</x:v>
      </x:c>
      <x:c r="J209" s="46" t="n">
        <x:v>0.05350877192982456</x:v>
      </x:c>
      <x:c r="K209" s="46" t="n">
        <x:v>0.02782456140350877</x:v>
      </x:c>
      <x:c r="L209" s="46" t="n">
        <x:v>1.3377192982456139</x:v>
      </x:c>
      <x:c r="M209" s="46" t="n">
        <x:v>0.02782456140350877</x:v>
      </x:c>
      <x:c r="N209" s="46" t="n">
        <x:v>0</x:v>
      </x:c>
      <x:c r="O209" s="48" t="str">
        <x:v>R</x:v>
      </x:c>
      <x:c r="P209" s="46" t="n">
        <x:v>0</x:v>
      </x:c>
      <x:c r="Q209" s="45" t="n">
        <x:v>1</x:v>
      </x:c>
    </x:row>
    <x:row r="210">
      <x:c r="A210" s="45" t="n">
        <x:v>209</x:v>
      </x:c>
      <x:c r="B210" s="45" t="n">
        <x:v>261</x:v>
      </x:c>
      <x:c r="C210" s="45" t="n">
        <x:v>0</x:v>
      </x:c>
      <x:c r="D210" s="43" t="str">
        <x:v>Hidalgo et al. (2002)</x:v>
      </x:c>
      <x:c r="E210" s="43" t="n">
        <x:v>15</x:v>
      </x:c>
      <x:c r="F210" s="45" t="n">
        <x:v>2</x:v>
      </x:c>
      <x:c r="G210" s="44" t="str">
        <x:v>Shear</x:v>
      </x:c>
      <x:c r="H210" s="46" t="n">
        <x:v>0.35294117647058826</x:v>
      </x:c>
      <x:c r="I210" s="46" t="n">
        <x:v>21.25</x:v>
      </x:c>
      <x:c r="J210" s="46" t="n">
        <x:v>0.025042105263157893</x:v>
      </x:c>
      <x:c r="K210" s="46" t="n">
        <x:v>0.04815789473684211</x:v>
      </x:c>
      <x:c r="L210" s="46" t="n">
        <x:v>1.2039473684210527</x:v>
      </x:c>
      <x:c r="M210" s="46" t="n">
        <x:v>0.04815789473684211</x:v>
      </x:c>
      <x:c r="N210" s="46" t="n">
        <x:v>0</x:v>
      </x:c>
      <x:c r="O210" s="48" t="str">
        <x:v>R</x:v>
      </x:c>
      <x:c r="P210" s="46" t="n">
        <x:v>0</x:v>
      </x:c>
      <x:c r="Q210" s="45" t="n">
        <x:v>1</x:v>
      </x:c>
    </x:row>
    <x:row r="211">
      <x:c r="A211" s="45" t="n">
        <x:v>210</x:v>
      </x:c>
      <x:c r="B211" s="45" t="n">
        <x:v>262</x:v>
      </x:c>
      <x:c r="C211" s="45" t="n">
        <x:v>0</x:v>
      </x:c>
      <x:c r="D211" s="43" t="str">
        <x:v>Hidalgo et al. (2002)</x:v>
      </x:c>
      <x:c r="E211" s="43" t="n">
        <x:v>16</x:v>
      </x:c>
      <x:c r="F211" s="45" t="n">
        <x:v>2</x:v>
      </x:c>
      <x:c r="G211" s="44" t="str">
        <x:v>Shear</x:v>
      </x:c>
      <x:c r="H211" s="46" t="n">
        <x:v>0.35294117647058826</x:v>
      </x:c>
      <x:c r="I211" s="46" t="n">
        <x:v>21.25</x:v>
      </x:c>
      <x:c r="J211" s="46" t="n">
        <x:v>0.04867021276595745</x:v>
      </x:c>
      <x:c r="K211" s="46" t="n">
        <x:v>0.04867021276595745</x:v>
      </x:c>
      <x:c r="L211" s="46" t="n">
        <x:v>1.2167553191489362</x:v>
      </x:c>
      <x:c r="M211" s="46" t="n">
        <x:v>0.04867021276595745</x:v>
      </x:c>
      <x:c r="N211" s="46" t="n">
        <x:v>0</x:v>
      </x:c>
      <x:c r="O211" s="48" t="str">
        <x:v>R</x:v>
      </x:c>
      <x:c r="P211" s="46" t="n">
        <x:v>0</x:v>
      </x:c>
      <x:c r="Q211" s="45" t="n">
        <x:v>1</x:v>
      </x:c>
    </x:row>
    <x:row r="212">
      <x:c r="A212" s="45" t="n">
        <x:v>211</x:v>
      </x:c>
      <x:c r="B212" s="45" t="n">
        <x:v>263</x:v>
      </x:c>
      <x:c r="C212" s="45" t="n">
        <x:v>0</x:v>
      </x:c>
      <x:c r="D212" s="43" t="str">
        <x:v>Hidalgo et al. (2002)</x:v>
      </x:c>
      <x:c r="E212" s="43" t="n">
        <x:v>21</x:v>
      </x:c>
      <x:c r="F212" s="45" t="n">
        <x:v>2</x:v>
      </x:c>
      <x:c r="G212" s="44" t="str">
        <x:v>Shear</x:v>
      </x:c>
      <x:c r="H212" s="46" t="n">
        <x:v>0.6923076923076923</x:v>
      </x:c>
      <x:c r="I212" s="46" t="n">
        <x:v>13</x:v>
      </x:c>
      <x:c r="J212" s="46" t="n">
        <x:v>0</x:v>
      </x:c>
      <x:c r="K212" s="46" t="n">
        <x:v>0</x:v>
      </x:c>
      <x:c r="L212" s="46" t="n">
        <x:v>0</x:v>
      </x:c>
      <x:c r="M212" s="46" t="n">
        <x:v>0</x:v>
      </x:c>
      <x:c r="N212" s="46" t="n">
        <x:v>0</x:v>
      </x:c>
      <x:c r="O212" s="48" t="str">
        <x:v>R</x:v>
      </x:c>
      <x:c r="P212" s="46" t="n">
        <x:v>0</x:v>
      </x:c>
      <x:c r="Q212" s="45" t="n">
        <x:v>2</x:v>
      </x:c>
    </x:row>
    <x:row r="213">
      <x:c r="A213" s="45" t="n">
        <x:v>212</x:v>
      </x:c>
      <x:c r="B213" s="45" t="n">
        <x:v>264</x:v>
      </x:c>
      <x:c r="C213" s="45" t="n">
        <x:v>0</x:v>
      </x:c>
      <x:c r="D213" s="43" t="str">
        <x:v>Hidalgo et al. (2002)</x:v>
      </x:c>
      <x:c r="E213" s="43" t="n">
        <x:v>22</x:v>
      </x:c>
      <x:c r="F213" s="45" t="n">
        <x:v>2</x:v>
      </x:c>
      <x:c r="G213" s="44" t="str">
        <x:v>Shear</x:v>
      </x:c>
      <x:c r="H213" s="46" t="n">
        <x:v>0.6923076923076923</x:v>
      </x:c>
      <x:c r="I213" s="46" t="n">
        <x:v>13</x:v>
      </x:c>
      <x:c r="J213" s="46" t="n">
        <x:v>0</x:v>
      </x:c>
      <x:c r="K213" s="46" t="n">
        <x:v>0</x:v>
      </x:c>
      <x:c r="L213" s="46" t="n">
        <x:v>0</x:v>
      </x:c>
      <x:c r="M213" s="46" t="n">
        <x:v>0</x:v>
      </x:c>
      <x:c r="N213" s="46" t="n">
        <x:v>0</x:v>
      </x:c>
      <x:c r="O213" s="48" t="str">
        <x:v>R</x:v>
      </x:c>
      <x:c r="P213" s="46" t="n">
        <x:v>0</x:v>
      </x:c>
      <x:c r="Q213" s="45" t="n">
        <x:v>2</x:v>
      </x:c>
    </x:row>
    <x:row r="214">
      <x:c r="A214" s="45" t="n">
        <x:v>213</x:v>
      </x:c>
      <x:c r="B214" s="45" t="n">
        <x:v>265</x:v>
      </x:c>
      <x:c r="C214" s="45" t="n">
        <x:v>0</x:v>
      </x:c>
      <x:c r="D214" s="43" t="str">
        <x:v>Hidalgo et al. (2002)</x:v>
      </x:c>
      <x:c r="E214" s="43" t="n">
        <x:v>23</x:v>
      </x:c>
      <x:c r="F214" s="45" t="n">
        <x:v>2</x:v>
      </x:c>
      <x:c r="G214" s="44" t="str">
        <x:v>Shear</x:v>
      </x:c>
      <x:c r="H214" s="46" t="n">
        <x:v>0.6923076923076923</x:v>
      </x:c>
      <x:c r="I214" s="46" t="n">
        <x:v>13</x:v>
      </x:c>
      <x:c r="J214" s="46" t="n">
        <x:v>0</x:v>
      </x:c>
      <x:c r="K214" s="46" t="n">
        <x:v>0.04452479338842976</x:v>
      </x:c>
      <x:c r="L214" s="46" t="n">
        <x:v>0</x:v>
      </x:c>
      <x:c r="M214" s="46" t="n">
        <x:v>0.04452479338842976</x:v>
      </x:c>
      <x:c r="N214" s="46" t="n">
        <x:v>0</x:v>
      </x:c>
      <x:c r="O214" s="48" t="str">
        <x:v>R</x:v>
      </x:c>
      <x:c r="P214" s="46" t="n">
        <x:v>0</x:v>
      </x:c>
      <x:c r="Q214" s="45" t="n">
        <x:v>1</x:v>
      </x:c>
    </x:row>
    <x:row r="215">
      <x:c r="A215" s="45" t="n">
        <x:v>214</x:v>
      </x:c>
      <x:c r="B215" s="45" t="n">
        <x:v>266</x:v>
      </x:c>
      <x:c r="C215" s="45" t="n">
        <x:v>0</x:v>
      </x:c>
      <x:c r="D215" s="43" t="str">
        <x:v>Hidalgo et al. (2002)</x:v>
      </x:c>
      <x:c r="E215" s="43" t="n">
        <x:v>24</x:v>
      </x:c>
      <x:c r="F215" s="45" t="n">
        <x:v>2</x:v>
      </x:c>
      <x:c r="G215" s="44" t="str">
        <x:v>Shear</x:v>
      </x:c>
      <x:c r="H215" s="46" t="n">
        <x:v>0.6923076923076923</x:v>
      </x:c>
      <x:c r="I215" s="46" t="n">
        <x:v>13</x:v>
      </x:c>
      <x:c r="J215" s="46" t="n">
        <x:v>0.04508368200836821</x:v>
      </x:c>
      <x:c r="K215" s="46" t="n">
        <x:v>0</x:v>
      </x:c>
      <x:c r="L215" s="46" t="n">
        <x:v>0.7213389121338913</x:v>
      </x:c>
      <x:c r="M215" s="46" t="n">
        <x:v>0</x:v>
      </x:c>
      <x:c r="N215" s="46" t="n">
        <x:v>0</x:v>
      </x:c>
      <x:c r="O215" s="48" t="str">
        <x:v>R</x:v>
      </x:c>
      <x:c r="P215" s="46" t="n">
        <x:v>0</x:v>
      </x:c>
      <x:c r="Q215" s="45" t="n">
        <x:v>1</x:v>
      </x:c>
    </x:row>
    <x:row r="216">
      <x:c r="A216" s="45" t="n">
        <x:v>215</x:v>
      </x:c>
      <x:c r="B216" s="45" t="n">
        <x:v>267</x:v>
      </x:c>
      <x:c r="C216" s="45" t="n">
        <x:v>0</x:v>
      </x:c>
      <x:c r="D216" s="43" t="str">
        <x:v>Hidalgo et al. (2002)</x:v>
      </x:c>
      <x:c r="E216" s="43" t="n">
        <x:v>25</x:v>
      </x:c>
      <x:c r="F216" s="45" t="n">
        <x:v>2</x:v>
      </x:c>
      <x:c r="G216" s="44" t="str">
        <x:v>Shear</x:v>
      </x:c>
      <x:c r="H216" s="46" t="n">
        <x:v>0.5</x:v>
      </x:c>
      <x:c r="I216" s="46" t="n">
        <x:v>14</x:v>
      </x:c>
      <x:c r="J216" s="46" t="n">
        <x:v>0</x:v>
      </x:c>
      <x:c r="K216" s="46" t="n">
        <x:v>0</x:v>
      </x:c>
      <x:c r="L216" s="46" t="n">
        <x:v>0</x:v>
      </x:c>
      <x:c r="M216" s="46" t="n">
        <x:v>0</x:v>
      </x:c>
      <x:c r="N216" s="46" t="n">
        <x:v>0</x:v>
      </x:c>
      <x:c r="O216" s="48" t="str">
        <x:v>R</x:v>
      </x:c>
      <x:c r="P216" s="46" t="n">
        <x:v>0</x:v>
      </x:c>
      <x:c r="Q216" s="45" t="n">
        <x:v>2</x:v>
      </x:c>
    </x:row>
    <x:row r="217">
      <x:c r="A217" s="45" t="n">
        <x:v>216</x:v>
      </x:c>
      <x:c r="B217" s="45" t="n">
        <x:v>268</x:v>
      </x:c>
      <x:c r="C217" s="45" t="n">
        <x:v>0</x:v>
      </x:c>
      <x:c r="D217" s="43" t="str">
        <x:v>Hidalgo et al. (2002)</x:v>
      </x:c>
      <x:c r="E217" s="43" t="n">
        <x:v>26</x:v>
      </x:c>
      <x:c r="F217" s="45" t="n">
        <x:v>2</x:v>
      </x:c>
      <x:c r="G217" s="44" t="str">
        <x:v>Shear</x:v>
      </x:c>
      <x:c r="H217" s="46" t="n">
        <x:v>0.5</x:v>
      </x:c>
      <x:c r="I217" s="46" t="n">
        <x:v>14</x:v>
      </x:c>
      <x:c r="J217" s="46" t="n">
        <x:v>0</x:v>
      </x:c>
      <x:c r="K217" s="46" t="n">
        <x:v>0</x:v>
      </x:c>
      <x:c r="L217" s="46" t="n">
        <x:v>0</x:v>
      </x:c>
      <x:c r="M217" s="46" t="n">
        <x:v>0</x:v>
      </x:c>
      <x:c r="N217" s="46" t="n">
        <x:v>0</x:v>
      </x:c>
      <x:c r="O217" s="48" t="str">
        <x:v>R</x:v>
      </x:c>
      <x:c r="P217" s="46" t="n">
        <x:v>0</x:v>
      </x:c>
      <x:c r="Q217" s="45" t="n">
        <x:v>2</x:v>
      </x:c>
    </x:row>
    <x:row r="218">
      <x:c r="A218" s="45" t="n">
        <x:v>217</x:v>
      </x:c>
      <x:c r="B218" s="45" t="n">
        <x:v>269</x:v>
      </x:c>
      <x:c r="C218" s="45" t="n">
        <x:v>0</x:v>
      </x:c>
      <x:c r="D218" s="43" t="str">
        <x:v>Hidalgo et al. (2002)</x:v>
      </x:c>
      <x:c r="E218" s="43" t="n">
        <x:v>27</x:v>
      </x:c>
      <x:c r="F218" s="45" t="n">
        <x:v>2</x:v>
      </x:c>
      <x:c r="G218" s="44" t="str">
        <x:v>Shear</x:v>
      </x:c>
      <x:c r="H218" s="46" t="n">
        <x:v>0.5</x:v>
      </x:c>
      <x:c r="I218" s="46" t="n">
        <x:v>14</x:v>
      </x:c>
      <x:c r="J218" s="46" t="n">
        <x:v>0</x:v>
      </x:c>
      <x:c r="K218" s="46" t="n">
        <x:v>0.04508368200836821</x:v>
      </x:c>
      <x:c r="L218" s="46" t="n">
        <x:v>0</x:v>
      </x:c>
      <x:c r="M218" s="46" t="n">
        <x:v>0.04508368200836821</x:v>
      </x:c>
      <x:c r="N218" s="46" t="n">
        <x:v>0</x:v>
      </x:c>
      <x:c r="O218" s="48" t="str">
        <x:v>R</x:v>
      </x:c>
      <x:c r="P218" s="46" t="n">
        <x:v>0</x:v>
      </x:c>
      <x:c r="Q218" s="45" t="n">
        <x:v>1</x:v>
      </x:c>
    </x:row>
    <x:row r="219">
      <x:c r="A219" s="45" t="n">
        <x:v>218</x:v>
      </x:c>
      <x:c r="B219" s="45" t="n">
        <x:v>270</x:v>
      </x:c>
      <x:c r="C219" s="45" t="n">
        <x:v>0</x:v>
      </x:c>
      <x:c r="D219" s="43" t="str">
        <x:v>Hidalgo et al. (2002)</x:v>
      </x:c>
      <x:c r="E219" s="43" t="n">
        <x:v>28</x:v>
      </x:c>
      <x:c r="F219" s="45" t="n">
        <x:v>2</x:v>
      </x:c>
      <x:c r="G219" s="44" t="str">
        <x:v>Shear</x:v>
      </x:c>
      <x:c r="H219" s="46" t="n">
        <x:v>0.5</x:v>
      </x:c>
      <x:c r="I219" s="46" t="n">
        <x:v>14</x:v>
      </x:c>
      <x:c r="J219" s="46" t="n">
        <x:v>0.04624463519313305</x:v>
      </x:c>
      <x:c r="K219" s="46" t="n">
        <x:v>0</x:v>
      </x:c>
      <x:c r="L219" s="46" t="n">
        <x:v>0.7399141630901288</x:v>
      </x:c>
      <x:c r="M219" s="46" t="n">
        <x:v>0</x:v>
      </x:c>
      <x:c r="N219" s="46" t="n">
        <x:v>0</x:v>
      </x:c>
      <x:c r="O219" s="48" t="str">
        <x:v>R</x:v>
      </x:c>
      <x:c r="P219" s="46" t="n">
        <x:v>0</x:v>
      </x:c>
      <x:c r="Q219" s="45" t="n">
        <x:v>1</x:v>
      </x:c>
    </x:row>
    <x:row r="220">
      <x:c r="A220" s="45" t="n">
        <x:v>219</x:v>
      </x:c>
      <x:c r="B220" s="45" t="n">
        <x:v>271</x:v>
      </x:c>
      <x:c r="C220" s="45" t="n">
        <x:v>0</x:v>
      </x:c>
      <x:c r="D220" s="43" t="str">
        <x:v>Hidalgo et al. (2002)</x:v>
      </x:c>
      <x:c r="E220" s="43" t="n">
        <x:v>29</x:v>
      </x:c>
      <x:c r="F220" s="45" t="n">
        <x:v>2</x:v>
      </x:c>
      <x:c r="G220" s="44" t="str">
        <x:v>Shear</x:v>
      </x:c>
      <x:c r="H220" s="46" t="n">
        <x:v>0.35</x:v>
      </x:c>
      <x:c r="I220" s="46" t="n">
        <x:v>18.75</x:v>
      </x:c>
      <x:c r="J220" s="46" t="n">
        <x:v>0</x:v>
      </x:c>
      <x:c r="K220" s="46" t="n">
        <x:v>0</x:v>
      </x:c>
      <x:c r="L220" s="46" t="n">
        <x:v>0</x:v>
      </x:c>
      <x:c r="M220" s="46" t="n">
        <x:v>0</x:v>
      </x:c>
      <x:c r="N220" s="46" t="n">
        <x:v>0</x:v>
      </x:c>
      <x:c r="O220" s="48" t="str">
        <x:v>R</x:v>
      </x:c>
      <x:c r="P220" s="46" t="n">
        <x:v>0</x:v>
      </x:c>
      <x:c r="Q220" s="45" t="n">
        <x:v>2</x:v>
      </x:c>
    </x:row>
    <x:row r="221">
      <x:c r="A221" s="45" t="n">
        <x:v>220</x:v>
      </x:c>
      <x:c r="B221" s="45" t="n">
        <x:v>272</x:v>
      </x:c>
      <x:c r="C221" s="45" t="n">
        <x:v>0</x:v>
      </x:c>
      <x:c r="D221" s="43" t="str">
        <x:v>Hidalgo et al. (2002)</x:v>
      </x:c>
      <x:c r="E221" s="43" t="n">
        <x:v>30</x:v>
      </x:c>
      <x:c r="F221" s="45" t="n">
        <x:v>2</x:v>
      </x:c>
      <x:c r="G221" s="44" t="str">
        <x:v>Shear</x:v>
      </x:c>
      <x:c r="H221" s="46" t="n">
        <x:v>0.35</x:v>
      </x:c>
      <x:c r="I221" s="46" t="n">
        <x:v>18.75</x:v>
      </x:c>
      <x:c r="J221" s="46" t="n">
        <x:v>0</x:v>
      </x:c>
      <x:c r="K221" s="46" t="n">
        <x:v>0</x:v>
      </x:c>
      <x:c r="L221" s="46" t="n">
        <x:v>0</x:v>
      </x:c>
      <x:c r="M221" s="46" t="n">
        <x:v>0</x:v>
      </x:c>
      <x:c r="N221" s="46" t="n">
        <x:v>0</x:v>
      </x:c>
      <x:c r="O221" s="48" t="str">
        <x:v>R</x:v>
      </x:c>
      <x:c r="P221" s="46" t="n">
        <x:v>0</x:v>
      </x:c>
      <x:c r="Q221" s="45" t="n">
        <x:v>2</x:v>
      </x:c>
    </x:row>
    <x:row r="222">
      <x:c r="A222" s="45" t="n">
        <x:v>221</x:v>
      </x:c>
      <x:c r="B222" s="45" t="n">
        <x:v>273</x:v>
      </x:c>
      <x:c r="C222" s="45" t="n">
        <x:v>0</x:v>
      </x:c>
      <x:c r="D222" s="43" t="str">
        <x:v>Hidalgo et al. (2002)</x:v>
      </x:c>
      <x:c r="E222" s="43" t="n">
        <x:v>31</x:v>
      </x:c>
      <x:c r="F222" s="45" t="n">
        <x:v>2</x:v>
      </x:c>
      <x:c r="G222" s="44" t="str">
        <x:v>Shear</x:v>
      </x:c>
      <x:c r="H222" s="46" t="n">
        <x:v>0.35</x:v>
      </x:c>
      <x:c r="I222" s="46" t="n">
        <x:v>18.75</x:v>
      </x:c>
      <x:c r="J222" s="46" t="n">
        <x:v>0</x:v>
      </x:c>
      <x:c r="K222" s="46" t="n">
        <x:v>0.04664502164502165</x:v>
      </x:c>
      <x:c r="L222" s="46" t="n">
        <x:v>0</x:v>
      </x:c>
      <x:c r="M222" s="46" t="n">
        <x:v>0.04664502164502165</x:v>
      </x:c>
      <x:c r="N222" s="46" t="n">
        <x:v>0</x:v>
      </x:c>
      <x:c r="O222" s="48" t="str">
        <x:v>R</x:v>
      </x:c>
      <x:c r="P222" s="46" t="n">
        <x:v>0</x:v>
      </x:c>
      <x:c r="Q222" s="45" t="n">
        <x:v>1</x:v>
      </x:c>
    </x:row>
    <x:row r="223">
      <x:c r="A223" s="45" t="n">
        <x:v>222</x:v>
      </x:c>
      <x:c r="B223" s="45" t="n">
        <x:v>274</x:v>
      </x:c>
      <x:c r="C223" s="45" t="n">
        <x:v>0</x:v>
      </x:c>
      <x:c r="D223" s="43" t="str">
        <x:v>Hidalgo et al. (2002)</x:v>
      </x:c>
      <x:c r="E223" s="43" t="n">
        <x:v>32</x:v>
      </x:c>
      <x:c r="F223" s="45" t="n">
        <x:v>2</x:v>
      </x:c>
      <x:c r="G223" s="44" t="str">
        <x:v>Shear</x:v>
      </x:c>
      <x:c r="H223" s="46" t="n">
        <x:v>0.35</x:v>
      </x:c>
      <x:c r="I223" s="46" t="n">
        <x:v>18.75</x:v>
      </x:c>
      <x:c r="J223" s="46" t="n">
        <x:v>0.04624463519313305</x:v>
      </x:c>
      <x:c r="K223" s="46" t="n">
        <x:v>0</x:v>
      </x:c>
      <x:c r="L223" s="46" t="n">
        <x:v>1.1561158798283262</x:v>
      </x:c>
      <x:c r="M223" s="46" t="n">
        <x:v>0</x:v>
      </x:c>
      <x:c r="N223" s="46" t="n">
        <x:v>0</x:v>
      </x:c>
      <x:c r="O223" s="48" t="str">
        <x:v>R</x:v>
      </x:c>
      <x:c r="P223" s="46" t="n">
        <x:v>0</x:v>
      </x:c>
      <x:c r="Q223" s="45" t="n">
        <x:v>1</x:v>
      </x:c>
    </x:row>
    <x:row r="224">
      <x:c r="A224" s="45" t="n">
        <x:v>223</x:v>
      </x:c>
      <x:c r="B224" s="45" t="n">
        <x:v>275</x:v>
      </x:c>
      <x:c r="C224" s="45" t="n">
        <x:v>0</x:v>
      </x:c>
      <x:c r="D224" s="43" t="str">
        <x:v>Han et al. (2002)</x:v>
      </x:c>
      <x:c r="E224" s="43" t="str">
        <x:v>W2</x:v>
      </x:c>
      <x:c r="F224" s="45" t="n">
        <x:v>1</x:v>
      </x:c>
      <x:c r="G224" s="44" t="str">
        <x:v>Flexural</x:v>
      </x:c>
      <x:c r="H224" s="46" t="n">
        <x:v>2</x:v>
      </x:c>
      <x:c r="I224" s="46" t="n">
        <x:v>7.5</x:v>
      </x:c>
      <x:c r="J224" s="46" t="n">
        <x:v>0.03134502923976608</x:v>
      </x:c>
      <x:c r="K224" s="46" t="n">
        <x:v>0.027426900584795317</x:v>
      </x:c>
      <x:c r="L224" s="46" t="n">
        <x:v>0.14668128654970758</x:v>
      </x:c>
      <x:c r="M224" s="46" t="n">
        <x:v>0.09697368421052632</x:v>
      </x:c>
      <x:c r="N224" s="46" t="n">
        <x:v>0.09999999999999999</x:v>
      </x:c>
      <x:c r="O224" s="48" t="str">
        <x:v>R</x:v>
      </x:c>
      <x:c r="P224" s="46" t="n">
        <x:v>0</x:v>
      </x:c>
      <x:c r="Q224" s="45" t="n">
        <x:v>1</x:v>
      </x:c>
    </x:row>
    <x:row r="225">
      <x:c r="A225" s="45" t="n">
        <x:v>224</x:v>
      </x:c>
      <x:c r="B225" s="45" t="n">
        <x:v>276</x:v>
      </x:c>
      <x:c r="C225" s="45" t="n">
        <x:v>0</x:v>
      </x:c>
      <x:c r="D225" s="43" t="str">
        <x:v>Han et al. (2002)</x:v>
      </x:c>
      <x:c r="E225" s="43" t="str">
        <x:v>W3</x:v>
      </x:c>
      <x:c r="F225" s="45" t="n">
        <x:v>1</x:v>
      </x:c>
      <x:c r="G225" s="44" t="str">
        <x:v>Flexural</x:v>
      </x:c>
      <x:c r="H225" s="46" t="n">
        <x:v>3</x:v>
      </x:c>
      <x:c r="I225" s="46" t="n">
        <x:v>7.5</x:v>
      </x:c>
      <x:c r="J225" s="46" t="n">
        <x:v>0.029051490514905152</x:v>
      </x:c>
      <x:c r="K225" s="46" t="n">
        <x:v>0.025420054200542004</x:v>
      </x:c>
      <x:c r="L225" s="46" t="n">
        <x:v>0.13594850948509485</x:v>
      </x:c>
      <x:c r="M225" s="46" t="n">
        <x:v>0.08987804878048782</x:v>
      </x:c>
      <x:c r="N225" s="46" t="n">
        <x:v>0.1</x:v>
      </x:c>
      <x:c r="O225" s="48" t="str">
        <x:v>R</x:v>
      </x:c>
      <x:c r="P225" s="46" t="n">
        <x:v>0</x:v>
      </x:c>
      <x:c r="Q225" s="45" t="n">
        <x:v>1</x:v>
      </x:c>
    </x:row>
    <x:row r="226">
      <x:c r="A226" s="45" t="n">
        <x:v>225</x:v>
      </x:c>
      <x:c r="B226" s="45" t="n">
        <x:v>277</x:v>
      </x:c>
      <x:c r="C226" s="45" t="n">
        <x:v>0</x:v>
      </x:c>
      <x:c r="D226" s="43" t="str">
        <x:v>Barda et al. (1977)</x:v>
      </x:c>
      <x:c r="E226" s="43" t="str">
        <x:v>B1-1</x:v>
      </x:c>
      <x:c r="F226" s="45" t="n">
        <x:v>2</x:v>
      </x:c>
      <x:c r="G226" s="44" t="str">
        <x:v>Shear</x:v>
      </x:c>
      <x:c r="H226" s="46" t="n">
        <x:v>0.5002624671916011</x:v>
      </x:c>
      <x:c r="I226" s="46" t="n">
        <x:v>18.75</x:v>
      </x:c>
      <x:c r="J226" s="46" t="n">
        <x:v>0.09344827586206897</x:v>
      </x:c>
      <x:c r="K226" s="46" t="n">
        <x:v>0.08541379310344827</x:v>
      </x:c>
      <x:c r="L226" s="46" t="n">
        <x:v>0.3258620689655172</x:v>
      </x:c>
      <x:c r="M226" s="46" t="n">
        <x:v>0.062388092472184804</x:v>
      </x:c>
      <x:c r="N226" s="46" t="n">
        <x:v>0</x:v>
      </x:c>
      <x:c r="O226" s="48" t="str">
        <x:v>F</x:v>
      </x:c>
      <x:c r="P226" s="46" t="n">
        <x:v>0.20876112251882273</x:v>
      </x:c>
      <x:c r="Q226" s="45" t="n">
        <x:v>1</x:v>
      </x:c>
    </x:row>
    <x:row r="227">
      <x:c r="A227" s="45" t="n">
        <x:v>226</x:v>
      </x:c>
      <x:c r="B227" s="45" t="n">
        <x:v>278</x:v>
      </x:c>
      <x:c r="C227" s="45" t="n">
        <x:v>0</x:v>
      </x:c>
      <x:c r="D227" s="43" t="str">
        <x:v>Barda et al. (1977)</x:v>
      </x:c>
      <x:c r="E227" s="43" t="str">
        <x:v>B2-1</x:v>
      </x:c>
      <x:c r="F227" s="45" t="n">
        <x:v>3</x:v>
      </x:c>
      <x:c r="G227" s="44" t="str">
        <x:v>Flex-Shear</x:v>
      </x:c>
      <x:c r="H227" s="46" t="n">
        <x:v>0.5002624671916011</x:v>
      </x:c>
      <x:c r="I227" s="46" t="n">
        <x:v>18.75</x:v>
      </x:c>
      <x:c r="J227" s="46" t="n">
        <x:v>0.16901840490797546</x:v>
      </x:c>
      <x:c r="K227" s="46" t="n">
        <x:v>0.15300613496932516</x:v>
      </x:c>
      <x:c r="L227" s="46" t="n">
        <x:v>1.9082208588957055</x:v>
      </x:c>
      <x:c r="M227" s="46" t="n">
        <x:v>0.11175900929392715</x:v>
      </x:c>
      <x:c r="N227" s="46" t="n">
        <x:v>0</x:v>
      </x:c>
      <x:c r="O227" s="48" t="str">
        <x:v>F</x:v>
      </x:c>
      <x:c r="P227" s="46" t="n">
        <x:v>0.20876112251882273</x:v>
      </x:c>
      <x:c r="Q227" s="45" t="n">
        <x:v>1</x:v>
      </x:c>
    </x:row>
    <x:row r="228">
      <x:c r="A228" s="45" t="n">
        <x:v>227</x:v>
      </x:c>
      <x:c r="B228" s="45" t="n">
        <x:v>279</x:v>
      </x:c>
      <x:c r="C228" s="45" t="n">
        <x:v>0</x:v>
      </x:c>
      <x:c r="D228" s="43" t="str">
        <x:v>Barda et al. (1977)</x:v>
      </x:c>
      <x:c r="E228" s="43" t="str">
        <x:v>B3-2</x:v>
      </x:c>
      <x:c r="F228" s="45" t="n">
        <x:v>3</x:v>
      </x:c>
      <x:c r="G228" s="44" t="str">
        <x:v>Flex-Shear</x:v>
      </x:c>
      <x:c r="H228" s="46" t="n">
        <x:v>0.5002624671916011</x:v>
      </x:c>
      <x:c r="I228" s="46" t="n">
        <x:v>18.75</x:v>
      </x:c>
      <x:c r="J228" s="46" t="n">
        <x:v>0.10074074074074074</x:v>
      </x:c>
      <x:c r="K228" s="46" t="n">
        <x:v>0.09492592592592593</x:v>
      </x:c>
      <x:c r="L228" s="46" t="n">
        <x:v>0.6271481481481481</x:v>
      </x:c>
      <x:c r="M228" s="46" t="n">
        <x:v>0.06933596120127514</x:v>
      </x:c>
      <x:c r="N228" s="46" t="n">
        <x:v>0</x:v>
      </x:c>
      <x:c r="O228" s="48" t="str">
        <x:v>F</x:v>
      </x:c>
      <x:c r="P228" s="46" t="n">
        <x:v>0.20876112251882273</x:v>
      </x:c>
      <x:c r="Q228" s="45" t="n">
        <x:v>1</x:v>
      </x:c>
    </x:row>
    <x:row r="229">
      <x:c r="A229" s="45" t="n">
        <x:v>228</x:v>
      </x:c>
      <x:c r="B229" s="45" t="n">
        <x:v>280</x:v>
      </x:c>
      <x:c r="C229" s="45" t="n">
        <x:v>0</x:v>
      </x:c>
      <x:c r="D229" s="43" t="str">
        <x:v>Barda et al. (1977)</x:v>
      </x:c>
      <x:c r="E229" s="43" t="str">
        <x:v>B4-3</x:v>
      </x:c>
      <x:c r="F229" s="45" t="n">
        <x:v>3</x:v>
      </x:c>
      <x:c r="G229" s="44" t="str">
        <x:v>Flex-Shear</x:v>
      </x:c>
      <x:c r="H229" s="46" t="n">
        <x:v>0.5002624671916011</x:v>
      </x:c>
      <x:c r="I229" s="46" t="n">
        <x:v>18.75</x:v>
      </x:c>
      <x:c r="J229" s="46" t="n">
        <x:v>0.14078947368421055</x:v>
      </x:c>
      <x:c r="K229" s="46" t="n">
        <x:v>0</x:v>
      </x:c>
      <x:c r="L229" s="46" t="n">
        <x:v>1.1372105263157894</x:v>
      </x:c>
      <x:c r="M229" s="46" t="n">
        <x:v>0</x:v>
      </x:c>
      <x:c r="N229" s="46" t="n">
        <x:v>0</x:v>
      </x:c>
      <x:c r="O229" s="48" t="str">
        <x:v>F</x:v>
      </x:c>
      <x:c r="P229" s="46" t="n">
        <x:v>0.20876112251882273</x:v>
      </x:c>
      <x:c r="Q229" s="45" t="n">
        <x:v>1</x:v>
      </x:c>
    </x:row>
    <x:row r="230">
      <x:c r="A230" s="45" t="n">
        <x:v>229</x:v>
      </x:c>
      <x:c r="B230" s="45" t="n">
        <x:v>281</x:v>
      </x:c>
      <x:c r="C230" s="45" t="n">
        <x:v>0</x:v>
      </x:c>
      <x:c r="D230" s="43" t="str">
        <x:v>Barda et al. (1977)</x:v>
      </x:c>
      <x:c r="E230" s="43" t="str">
        <x:v>B5-4</x:v>
      </x:c>
      <x:c r="F230" s="45" t="n">
        <x:v>3</x:v>
      </x:c>
      <x:c r="G230" s="44" t="str">
        <x:v>Flex-Shear</x:v>
      </x:c>
      <x:c r="H230" s="46" t="n">
        <x:v>0.5002624671916011</x:v>
      </x:c>
      <x:c r="I230" s="46" t="n">
        <x:v>18.75</x:v>
      </x:c>
      <x:c r="J230" s="46" t="n">
        <x:v>0</x:v>
      </x:c>
      <x:c r="K230" s="46" t="n">
        <x:v>0.08558823529411765</x:v>
      </x:c>
      <x:c r="L230" s="46" t="n">
        <x:v>0.7462283737024222</x:v>
      </x:c>
      <x:c r="M230" s="46" t="n">
        <x:v>0.06251550884285635</x:v>
      </x:c>
      <x:c r="N230" s="46" t="n">
        <x:v>0</x:v>
      </x:c>
      <x:c r="O230" s="48" t="str">
        <x:v>F</x:v>
      </x:c>
      <x:c r="P230" s="46" t="n">
        <x:v>0.20876112251882273</x:v>
      </x:c>
      <x:c r="Q230" s="45" t="n">
        <x:v>1</x:v>
      </x:c>
    </x:row>
    <x:row r="231">
      <x:c r="A231" s="45" t="n">
        <x:v>230</x:v>
      </x:c>
      <x:c r="B231" s="45" t="n">
        <x:v>282</x:v>
      </x:c>
      <x:c r="C231" s="45" t="n">
        <x:v>0</x:v>
      </x:c>
      <x:c r="D231" s="43" t="str">
        <x:v>Barda et al. (1977)</x:v>
      </x:c>
      <x:c r="E231" s="43" t="str">
        <x:v>B6-4</x:v>
      </x:c>
      <x:c r="F231" s="45" t="n">
        <x:v>3</x:v>
      </x:c>
      <x:c r="G231" s="44" t="str">
        <x:v>Flex-Shear</x:v>
      </x:c>
      <x:c r="H231" s="46" t="n">
        <x:v>0.5002624671916011</x:v>
      </x:c>
      <x:c r="I231" s="46" t="n">
        <x:v>18.75</x:v>
      </x:c>
      <x:c r="J231" s="46" t="n">
        <x:v>0.05849056603773585</x:v>
      </x:c>
      <x:c r="K231" s="46" t="n">
        <x:v>0.11700471698113209</x:v>
      </x:c>
      <x:c r="L231" s="46" t="n">
        <x:v>1.0211320754716982</x:v>
      </x:c>
      <x:c r="M231" s="46" t="n">
        <x:v>0.08546279046359294</x:v>
      </x:c>
      <x:c r="N231" s="46" t="n">
        <x:v>0</x:v>
      </x:c>
      <x:c r="O231" s="48" t="str">
        <x:v>F</x:v>
      </x:c>
      <x:c r="P231" s="46" t="n">
        <x:v>0.20876112251882273</x:v>
      </x:c>
      <x:c r="Q231" s="45" t="n">
        <x:v>1</x:v>
      </x:c>
    </x:row>
    <x:row r="232">
      <x:c r="A232" s="45" t="n">
        <x:v>231</x:v>
      </x:c>
      <x:c r="B232" s="45" t="n">
        <x:v>283</x:v>
      </x:c>
      <x:c r="C232" s="45" t="n">
        <x:v>0</x:v>
      </x:c>
      <x:c r="D232" s="43" t="str">
        <x:v>Barda et al. (1977)</x:v>
      </x:c>
      <x:c r="E232" s="43" t="str">
        <x:v>B7-5</x:v>
      </x:c>
      <x:c r="F232" s="45" t="n">
        <x:v>3</x:v>
      </x:c>
      <x:c r="G232" s="44" t="str">
        <x:v>Flex-Shear</x:v>
      </x:c>
      <x:c r="H232" s="46" t="n">
        <x:v>0.24986876640419947</x:v>
      </x:c>
      <x:c r="I232" s="46" t="n">
        <x:v>18.75</x:v>
      </x:c>
      <x:c r="J232" s="46" t="n">
        <x:v>0.10311284046692606</x:v>
      </x:c>
      <x:c r="K232" s="46" t="n">
        <x:v>0.09745136186770427</x:v>
      </x:c>
      <x:c r="L232" s="46" t="n">
        <x:v>0.8598832684824903</x:v>
      </x:c>
      <x:c r="M232" s="46" t="n">
        <x:v>0.07118059454846092</x:v>
      </x:c>
      <x:c r="N232" s="46" t="n">
        <x:v>0</x:v>
      </x:c>
      <x:c r="O232" s="48" t="str">
        <x:v>F</x:v>
      </x:c>
      <x:c r="P232" s="46" t="n">
        <x:v>0.20876112251882273</x:v>
      </x:c>
      <x:c r="Q232" s="45" t="n">
        <x:v>1</x:v>
      </x:c>
    </x:row>
    <x:row r="233">
      <x:c r="A233" s="45" t="n">
        <x:v>232</x:v>
      </x:c>
      <x:c r="B233" s="45" t="n">
        <x:v>284</x:v>
      </x:c>
      <x:c r="C233" s="45" t="n">
        <x:v>0</x:v>
      </x:c>
      <x:c r="D233" s="43" t="str">
        <x:v>Barda et al. (1977)</x:v>
      </x:c>
      <x:c r="E233" s="43" t="str">
        <x:v>B8-5</x:v>
      </x:c>
      <x:c r="F233" s="45" t="n">
        <x:v>3</x:v>
      </x:c>
      <x:c r="G233" s="44" t="str">
        <x:v>Flex-Shear</x:v>
      </x:c>
      <x:c r="H233" s="46" t="n">
        <x:v>1</x:v>
      </x:c>
      <x:c r="I233" s="46" t="n">
        <x:v>18.75</x:v>
      </x:c>
      <x:c r="J233" s="46" t="n">
        <x:v>0.11260683760683762</x:v>
      </x:c>
      <x:c r="K233" s="46" t="n">
        <x:v>0.10585470085470086</x:v>
      </x:c>
      <x:c r="L233" s="46" t="n">
        <x:v>0.8550427350427351</x:v>
      </x:c>
      <x:c r="M233" s="46" t="n">
        <x:v>0.07731857614074185</x:v>
      </x:c>
      <x:c r="N233" s="46" t="n">
        <x:v>0</x:v>
      </x:c>
      <x:c r="O233" s="48" t="str">
        <x:v>F</x:v>
      </x:c>
      <x:c r="P233" s="46" t="n">
        <x:v>0.20876112251882273</x:v>
      </x:c>
      <x:c r="Q233" s="45" t="n">
        <x:v>1</x:v>
      </x:c>
    </x:row>
    <x:row r="234">
      <x:c r="A234" s="45" t="n">
        <x:v>233</x:v>
      </x:c>
      <x:c r="B234" s="45" t="n">
        <x:v>286</x:v>
      </x:c>
      <x:c r="C234" s="45" t="n">
        <x:v>0</x:v>
      </x:c>
      <x:c r="D234" s="43" t="str">
        <x:v>SLDRCE (2008)</x:v>
      </x:c>
      <x:c r="E234" s="43" t="str">
        <x:v>Jiang_SSW-2</x:v>
      </x:c>
      <x:c r="F234" s="45" t="n">
        <x:v>4</x:v>
      </x:c>
      <x:c r="G234" s="44" t="str">
        <x:v>Sliding</x:v>
      </x:c>
      <x:c r="H234" s="46" t="n">
        <x:v>0.5596880623875224</x:v>
      </x:c>
      <x:c r="I234" s="46" t="n">
        <x:v>24.880597014925375</x:v>
      </x:c>
      <x:c r="J234" s="46" t="n">
        <x:v>0.16067213114754098</x:v>
      </x:c>
      <x:c r="K234" s="46" t="n">
        <x:v>0.17937158469945352</x:v>
      </x:c>
      <x:c r="L234" s="46" t="n">
        <x:v>0.5031147540983607</x:v>
      </x:c>
      <x:c r="M234" s="46" t="n">
        <x:v>0.19546164498366478</x:v>
      </x:c>
      <x:c r="N234" s="46" t="n">
        <x:v>0.09785172889571828</x:v>
      </x:c>
      <x:c r="O234" s="48" t="str">
        <x:v>R</x:v>
      </x:c>
      <x:c r="P234" s="46" t="n">
        <x:v>0</x:v>
      </x:c>
      <x:c r="Q234" s="45" t="n">
        <x:v>1</x:v>
      </x:c>
    </x:row>
    <x:row r="235">
      <x:c r="A235" s="45" t="n">
        <x:v>234</x:v>
      </x:c>
      <x:c r="B235" s="45" t="n">
        <x:v>287</x:v>
      </x:c>
      <x:c r="C235" s="45" t="n">
        <x:v>0</x:v>
      </x:c>
      <x:c r="D235" s="43" t="str">
        <x:v>SLDRCE (2008)</x:v>
      </x:c>
      <x:c r="E235" s="43" t="str">
        <x:v>Jiang_SSW-3</x:v>
      </x:c>
      <x:c r="F235" s="45" t="n">
        <x:v>4</x:v>
      </x:c>
      <x:c r="G235" s="44" t="str">
        <x:v>Sliding</x:v>
      </x:c>
      <x:c r="H235" s="46" t="n">
        <x:v>0.5596880623875224</x:v>
      </x:c>
      <x:c r="I235" s="46" t="n">
        <x:v>24.880597014925375</x:v>
      </x:c>
      <x:c r="J235" s="46" t="n">
        <x:v>0.1574262295081967</x:v>
      </x:c>
      <x:c r="K235" s="46" t="n">
        <x:v>0.17937158469945352</x:v>
      </x:c>
      <x:c r="L235" s="46" t="n">
        <x:v>0.7998524590163933</x:v>
      </x:c>
      <x:c r="M235" s="46" t="n">
        <x:v>0.19546164498366478</x:v>
      </x:c>
      <x:c r="N235" s="46" t="n">
        <x:v>0.19570345779143655</x:v>
      </x:c>
      <x:c r="O235" s="48" t="str">
        <x:v>R</x:v>
      </x:c>
      <x:c r="P235" s="46" t="n">
        <x:v>0</x:v>
      </x:c>
      <x:c r="Q235" s="45" t="n">
        <x:v>1</x:v>
      </x:c>
    </x:row>
    <x:row r="236">
      <x:c r="A236" s="45" t="n">
        <x:v>235</x:v>
      </x:c>
      <x:c r="B236" s="45" t="n">
        <x:v>297</x:v>
      </x:c>
      <x:c r="C236" s="45" t="n">
        <x:v>0</x:v>
      </x:c>
      <x:c r="D236" s="43" t="str">
        <x:v>SLDRCE (2008)</x:v>
      </x:c>
      <x:c r="E236" s="43" t="str">
        <x:v>Zhou_SW1</x:v>
      </x:c>
      <x:c r="F236" s="45" t="n">
        <x:v>1</x:v>
      </x:c>
      <x:c r="G236" s="44" t="str">
        <x:v>Flexural</x:v>
      </x:c>
      <x:c r="H236" s="46" t="n">
        <x:v>2.611111111111111</x:v>
      </x:c>
      <x:c r="I236" s="46" t="n">
        <x:v>12</x:v>
      </x:c>
      <x:c r="J236" s="46" t="n">
        <x:v>0.08028590425531916</x:v>
      </x:c>
      <x:c r="K236" s="46" t="n">
        <x:v>0.09634308510638298</x:v>
      </x:c>
      <x:c r="L236" s="46" t="n">
        <x:v>0.6513710106382979</x:v>
      </x:c>
      <x:c r="M236" s="46" t="n">
        <x:v>0.16057180851063832</x:v>
      </x:c>
      <x:c r="N236" s="46" t="n">
        <x:v>0.19700551615445233</x:v>
      </x:c>
      <x:c r="O236" s="48" t="str">
        <x:v>R</x:v>
      </x:c>
      <x:c r="P236" s="46" t="n">
        <x:v>0</x:v>
      </x:c>
      <x:c r="Q236" s="45" t="n">
        <x:v>1</x:v>
      </x:c>
    </x:row>
    <x:row r="237">
      <x:c r="A237" s="45" t="n">
        <x:v>236</x:v>
      </x:c>
      <x:c r="B237" s="45" t="n">
        <x:v>298</x:v>
      </x:c>
      <x:c r="C237" s="45" t="n">
        <x:v>0</x:v>
      </x:c>
      <x:c r="D237" s="43" t="str">
        <x:v>SLDRCE (2008)</x:v>
      </x:c>
      <x:c r="E237" s="43" t="str">
        <x:v>Zhou_SW2</x:v>
      </x:c>
      <x:c r="F237" s="45" t="n">
        <x:v>2</x:v>
      </x:c>
      <x:c r="G237" s="44" t="str">
        <x:v>Shear</x:v>
      </x:c>
      <x:c r="H237" s="46" t="n">
        <x:v>2.611111111111111</x:v>
      </x:c>
      <x:c r="I237" s="46" t="n">
        <x:v>12</x:v>
      </x:c>
      <x:c r="J237" s="46" t="n">
        <x:v>0.08028590425531916</x:v>
      </x:c>
      <x:c r="K237" s="46" t="n">
        <x:v>0.09634308510638298</x:v>
      </x:c>
      <x:c r="L237" s="46" t="n">
        <x:v>0.6513710106382979</x:v>
      </x:c>
      <x:c r="M237" s="46" t="n">
        <x:v>0.16057180851063832</x:v>
      </x:c>
      <x:c r="N237" s="46" t="n">
        <x:v>0</x:v>
      </x:c>
      <x:c r="O237" s="48" t="str">
        <x:v>R</x:v>
      </x:c>
      <x:c r="P237" s="46" t="n">
        <x:v>0</x:v>
      </x:c>
      <x:c r="Q237" s="45" t="n">
        <x:v>1</x:v>
      </x:c>
    </x:row>
    <x:row r="238">
      <x:c r="A238" s="45" t="n">
        <x:v>237</x:v>
      </x:c>
      <x:c r="B238" s="45" t="n">
        <x:v>301</x:v>
      </x:c>
      <x:c r="C238" s="45" t="n">
        <x:v>0</x:v>
      </x:c>
      <x:c r="D238" s="43" t="str">
        <x:v>SLDRCE (2008)</x:v>
      </x:c>
      <x:c r="E238" s="43" t="str">
        <x:v>Zhang_SW1-1</x:v>
      </x:c>
      <x:c r="F238" s="45" t="n">
        <x:v>1</x:v>
      </x:c>
      <x:c r="G238" s="44" t="str">
        <x:v>Flexural</x:v>
      </x:c>
      <x:c r="H238" s="46" t="n">
        <x:v>2.2</x:v>
      </x:c>
      <x:c r="I238" s="46" t="n">
        <x:v>8</x:v>
      </x:c>
      <x:c r="J238" s="46" t="n">
        <x:v>0.08655133290968194</x:v>
      </x:c>
      <x:c r="K238" s="46" t="n">
        <x:v>0.09253124318344176</x:v>
      </x:c>
      <x:c r="L238" s="46" t="n">
        <x:v>0.3225299251586485</x:v>
      </x:c>
      <x:c r="M238" s="46" t="n">
        <x:v>0.14458006747412774</x:v>
      </x:c>
      <x:c r="N238" s="46" t="n">
        <x:v>0.10814668423364074</x:v>
      </x:c>
      <x:c r="O238" s="48" t="str">
        <x:v>R</x:v>
      </x:c>
      <x:c r="P238" s="46" t="n">
        <x:v>0</x:v>
      </x:c>
      <x:c r="Q238" s="45" t="n">
        <x:v>1</x:v>
      </x:c>
    </x:row>
    <x:row r="239">
      <x:c r="A239" s="45" t="n">
        <x:v>238</x:v>
      </x:c>
      <x:c r="B239" s="45" t="n">
        <x:v>302</x:v>
      </x:c>
      <x:c r="C239" s="45" t="n">
        <x:v>0</x:v>
      </x:c>
      <x:c r="D239" s="43" t="str">
        <x:v>SLDRCE (2008)</x:v>
      </x:c>
      <x:c r="E239" s="43" t="str">
        <x:v>Zhang_SW1-2</x:v>
      </x:c>
      <x:c r="F239" s="45" t="n">
        <x:v>1</x:v>
      </x:c>
      <x:c r="G239" s="44" t="str">
        <x:v>Flexural</x:v>
      </x:c>
      <x:c r="H239" s="46" t="n">
        <x:v>2.2</x:v>
      </x:c>
      <x:c r="I239" s="46" t="n">
        <x:v>8</x:v>
      </x:c>
      <x:c r="J239" s="46" t="n">
        <x:v>0.08655133290968194</x:v>
      </x:c>
      <x:c r="K239" s="46" t="n">
        <x:v>0.09253124318344176</x:v>
      </x:c>
      <x:c r="L239" s="46" t="n">
        <x:v>0.3225299251586485</x:v>
      </x:c>
      <x:c r="M239" s="46" t="n">
        <x:v>0.14458006747412774</x:v>
      </x:c>
      <x:c r="N239" s="46" t="n">
        <x:v>0.21629336846728148</x:v>
      </x:c>
      <x:c r="O239" s="48" t="str">
        <x:v>R</x:v>
      </x:c>
      <x:c r="P239" s="46" t="n">
        <x:v>0</x:v>
      </x:c>
      <x:c r="Q239" s="45" t="n">
        <x:v>2</x:v>
      </x:c>
    </x:row>
    <x:row r="240">
      <x:c r="A240" s="45" t="n">
        <x:v>239</x:v>
      </x:c>
      <x:c r="B240" s="45" t="n">
        <x:v>303</x:v>
      </x:c>
      <x:c r="C240" s="45" t="n">
        <x:v>0</x:v>
      </x:c>
      <x:c r="D240" s="43" t="str">
        <x:v>SLDRCE (2008)</x:v>
      </x:c>
      <x:c r="E240" s="43" t="str">
        <x:v>Zhang_SW1-3</x:v>
      </x:c>
      <x:c r="F240" s="45" t="n">
        <x:v>1</x:v>
      </x:c>
      <x:c r="G240" s="44" t="str">
        <x:v>Flexural</x:v>
      </x:c>
      <x:c r="H240" s="46" t="n">
        <x:v>2.2</x:v>
      </x:c>
      <x:c r="I240" s="46" t="n">
        <x:v>8</x:v>
      </x:c>
      <x:c r="J240" s="46" t="n">
        <x:v>0.08655133290968194</x:v>
      </x:c>
      <x:c r="K240" s="46" t="n">
        <x:v>0.09253124318344176</x:v>
      </x:c>
      <x:c r="L240" s="46" t="n">
        <x:v>0.3225299251586485</x:v>
      </x:c>
      <x:c r="M240" s="46" t="n">
        <x:v>0.14458006747412774</x:v>
      </x:c>
      <x:c r="N240" s="46" t="n">
        <x:v>0.32444005270092224</x:v>
      </x:c>
      <x:c r="O240" s="48" t="str">
        <x:v>R</x:v>
      </x:c>
      <x:c r="P240" s="46" t="n">
        <x:v>0</x:v>
      </x:c>
      <x:c r="Q240" s="45" t="n">
        <x:v>1</x:v>
      </x:c>
    </x:row>
    <x:row r="241">
      <x:c r="A241" s="45" t="n">
        <x:v>240</x:v>
      </x:c>
      <x:c r="B241" s="45" t="n">
        <x:v>304</x:v>
      </x:c>
      <x:c r="C241" s="45" t="n">
        <x:v>0</x:v>
      </x:c>
      <x:c r="D241" s="43" t="str">
        <x:v>SLDRCE (2008)</x:v>
      </x:c>
      <x:c r="E241" s="43" t="str">
        <x:v>Zhang_SW1-4</x:v>
      </x:c>
      <x:c r="F241" s="45" t="n">
        <x:v>1</x:v>
      </x:c>
      <x:c r="G241" s="44" t="str">
        <x:v>Flexural</x:v>
      </x:c>
      <x:c r="H241" s="46" t="n">
        <x:v>2.2</x:v>
      </x:c>
      <x:c r="I241" s="46" t="n">
        <x:v>8</x:v>
      </x:c>
      <x:c r="J241" s="46" t="n">
        <x:v>0.08655133290968194</x:v>
      </x:c>
      <x:c r="K241" s="46" t="n">
        <x:v>0.09253124318344176</x:v>
      </x:c>
      <x:c r="L241" s="46" t="n">
        <x:v>0.3225299251586485</x:v>
      </x:c>
      <x:c r="M241" s="46" t="n">
        <x:v>0.14458006747412774</x:v>
      </x:c>
      <x:c r="N241" s="46" t="n">
        <x:v>0.43258673693456295</x:v>
      </x:c>
      <x:c r="O241" s="48" t="str">
        <x:v>R</x:v>
      </x:c>
      <x:c r="P241" s="46" t="n">
        <x:v>0</x:v>
      </x:c>
      <x:c r="Q241" s="45" t="n">
        <x:v>1</x:v>
      </x:c>
    </x:row>
    <x:row r="242">
      <x:c r="A242" s="45" t="n">
        <x:v>241</x:v>
      </x:c>
      <x:c r="B242" s="45" t="n">
        <x:v>305</x:v>
      </x:c>
      <x:c r="C242" s="45" t="n">
        <x:v>0</x:v>
      </x:c>
      <x:c r="D242" s="43" t="str">
        <x:v>SLDRCE (2008)</x:v>
      </x:c>
      <x:c r="E242" s="43" t="str">
        <x:v>Zhang_SW2-1</x:v>
      </x:c>
      <x:c r="F242" s="45" t="n">
        <x:v>2</x:v>
      </x:c>
      <x:c r="G242" s="44" t="str">
        <x:v>Shear</x:v>
      </x:c>
      <x:c r="H242" s="46" t="n">
        <x:v>1.2</x:v>
      </x:c>
      <x:c r="I242" s="46" t="n">
        <x:v>8</x:v>
      </x:c>
      <x:c r="J242" s="46" t="n">
        <x:v>0.05816923997501351</x:v>
      </x:c>
      <x:c r="K242" s="46" t="n">
        <x:v>0.06218820564601443</x:v>
      </x:c>
      <x:c r="L242" s="46" t="n">
        <x:v>0.21676524190857221</x:v>
      </x:c>
      <x:c r="M242" s="46" t="n">
        <x:v>0.09716907132189755</x:v>
      </x:c>
      <x:c r="N242" s="46" t="n">
        <x:v>0.4172815820543093</x:v>
      </x:c>
      <x:c r="O242" s="48" t="str">
        <x:v>R</x:v>
      </x:c>
      <x:c r="P242" s="46" t="n">
        <x:v>0</x:v>
      </x:c>
      <x:c r="Q242" s="45" t="n">
        <x:v>1</x:v>
      </x:c>
    </x:row>
    <x:row r="243">
      <x:c r="A243" s="45" t="n">
        <x:v>242</x:v>
      </x:c>
      <x:c r="B243" s="45" t="n">
        <x:v>306</x:v>
      </x:c>
      <x:c r="C243" s="45" t="n">
        <x:v>0</x:v>
      </x:c>
      <x:c r="D243" s="43" t="str">
        <x:v>SLDRCE (2008)</x:v>
      </x:c>
      <x:c r="E243" s="43" t="str">
        <x:v>Zhang_SW2-2</x:v>
      </x:c>
      <x:c r="F243" s="45" t="n">
        <x:v>1</x:v>
      </x:c>
      <x:c r="G243" s="44" t="str">
        <x:v>Flexural</x:v>
      </x:c>
      <x:c r="H243" s="46" t="n">
        <x:v>1.7</x:v>
      </x:c>
      <x:c r="I243" s="46" t="n">
        <x:v>8</x:v>
      </x:c>
      <x:c r="J243" s="46" t="n">
        <x:v>0.05816923997501351</x:v>
      </x:c>
      <x:c r="K243" s="46" t="n">
        <x:v>0.06218820564601443</x:v>
      </x:c>
      <x:c r="L243" s="46" t="n">
        <x:v>0.21676524190857221</x:v>
      </x:c>
      <x:c r="M243" s="46" t="n">
        <x:v>0.09716907132189755</x:v>
      </x:c>
      <x:c r="N243" s="46" t="n">
        <x:v>0.4172815820543093</x:v>
      </x:c>
      <x:c r="O243" s="48" t="str">
        <x:v>R</x:v>
      </x:c>
      <x:c r="P243" s="46" t="n">
        <x:v>0</x:v>
      </x:c>
      <x:c r="Q243" s="45" t="n">
        <x:v>1</x:v>
      </x:c>
    </x:row>
    <x:row r="244">
      <x:c r="A244" s="45" t="n">
        <x:v>243</x:v>
      </x:c>
      <x:c r="B244" s="45" t="n">
        <x:v>307</x:v>
      </x:c>
      <x:c r="C244" s="45" t="n">
        <x:v>0</x:v>
      </x:c>
      <x:c r="D244" s="43" t="str">
        <x:v>SLDRCE (2008)</x:v>
      </x:c>
      <x:c r="E244" s="43" t="str">
        <x:v>Zhang_SW2-3</x:v>
      </x:c>
      <x:c r="F244" s="45" t="n">
        <x:v>1</x:v>
      </x:c>
      <x:c r="G244" s="44" t="str">
        <x:v>Flexural</x:v>
      </x:c>
      <x:c r="H244" s="46" t="n">
        <x:v>2.2</x:v>
      </x:c>
      <x:c r="I244" s="46" t="n">
        <x:v>8</x:v>
      </x:c>
      <x:c r="J244" s="46" t="n">
        <x:v>0.05816923997501351</x:v>
      </x:c>
      <x:c r="K244" s="46" t="n">
        <x:v>0.06218820564601443</x:v>
      </x:c>
      <x:c r="L244" s="46" t="n">
        <x:v>0.21676524190857221</x:v>
      </x:c>
      <x:c r="M244" s="46" t="n">
        <x:v>0.09716907132189755</x:v>
      </x:c>
      <x:c r="N244" s="46" t="n">
        <x:v>0.4172815820543093</x:v>
      </x:c>
      <x:c r="O244" s="48" t="str">
        <x:v>R</x:v>
      </x:c>
      <x:c r="P244" s="46" t="n">
        <x:v>0</x:v>
      </x:c>
      <x:c r="Q244" s="45" t="n">
        <x:v>7</x:v>
      </x:c>
    </x:row>
    <x:row r="245">
      <x:c r="A245" s="45" t="n">
        <x:v>244</x:v>
      </x:c>
      <x:c r="B245" s="45" t="n">
        <x:v>309</x:v>
      </x:c>
      <x:c r="C245" s="45" t="n">
        <x:v>0</x:v>
      </x:c>
      <x:c r="D245" s="43" t="str">
        <x:v>SLDRCE (2008)</x:v>
      </x:c>
      <x:c r="E245" s="43" t="str">
        <x:v>Zhang_SW3-1</x:v>
      </x:c>
      <x:c r="F245" s="45" t="n">
        <x:v>1</x:v>
      </x:c>
      <x:c r="G245" s="44" t="str">
        <x:v>Flexural</x:v>
      </x:c>
      <x:c r="H245" s="46" t="n">
        <x:v>2.2</x:v>
      </x:c>
      <x:c r="I245" s="46" t="n">
        <x:v>8</x:v>
      </x:c>
      <x:c r="J245" s="46" t="n">
        <x:v>0.08655133290968194</x:v>
      </x:c>
      <x:c r="K245" s="46" t="n">
        <x:v>0.09253124318344176</x:v>
      </x:c>
      <x:c r="L245" s="46" t="n">
        <x:v>0.3225299251586485</x:v>
      </x:c>
      <x:c r="M245" s="46" t="n">
        <x:v>0.14458006747412774</x:v>
      </x:c>
      <x:c r="N245" s="46" t="n">
        <x:v>0.21629336846728148</x:v>
      </x:c>
      <x:c r="O245" s="48" t="str">
        <x:v>R</x:v>
      </x:c>
      <x:c r="P245" s="46" t="n">
        <x:v>0</x:v>
      </x:c>
      <x:c r="Q245" s="45" t="n">
        <x:v>2</x:v>
      </x:c>
    </x:row>
    <x:row r="246">
      <x:c r="A246" s="45" t="n">
        <x:v>245</x:v>
      </x:c>
      <x:c r="B246" s="45" t="n">
        <x:v>310</x:v>
      </x:c>
      <x:c r="C246" s="45" t="n">
        <x:v>0</x:v>
      </x:c>
      <x:c r="D246" s="43" t="str">
        <x:v>SLDRCE (2008)</x:v>
      </x:c>
      <x:c r="E246" s="43" t="str">
        <x:v>Zhang_SW3-2</x:v>
      </x:c>
      <x:c r="F246" s="45" t="n">
        <x:v>1</x:v>
      </x:c>
      <x:c r="G246" s="44" t="str">
        <x:v>Flexural</x:v>
      </x:c>
      <x:c r="H246" s="46" t="n">
        <x:v>2.2</x:v>
      </x:c>
      <x:c r="I246" s="46" t="n">
        <x:v>8</x:v>
      </x:c>
      <x:c r="J246" s="46" t="n">
        <x:v>0.05816923997501351</x:v>
      </x:c>
      <x:c r="K246" s="46" t="n">
        <x:v>0.06218820564601443</x:v>
      </x:c>
      <x:c r="L246" s="46" t="n">
        <x:v>0.21676524190857221</x:v>
      </x:c>
      <x:c r="M246" s="46" t="n">
        <x:v>0.09716907132189755</x:v>
      </x:c>
      <x:c r="N246" s="46" t="n">
        <x:v>0.4172815820543093</x:v>
      </x:c>
      <x:c r="O246" s="48" t="str">
        <x:v>R</x:v>
      </x:c>
      <x:c r="P246" s="46" t="n">
        <x:v>0</x:v>
      </x:c>
      <x:c r="Q246" s="45" t="n">
        <x:v>7</x:v>
      </x:c>
    </x:row>
    <x:row r="247">
      <x:c r="A247" s="45" t="n">
        <x:v>246</x:v>
      </x:c>
      <x:c r="B247" s="45" t="n">
        <x:v>311</x:v>
      </x:c>
      <x:c r="C247" s="45" t="n">
        <x:v>0</x:v>
      </x:c>
      <x:c r="D247" s="43" t="str">
        <x:v>SLDRCE (2008)</x:v>
      </x:c>
      <x:c r="E247" s="43" t="str">
        <x:v>Zhang_SW4-1</x:v>
      </x:c>
      <x:c r="F247" s="45" t="n">
        <x:v>1</x:v>
      </x:c>
      <x:c r="G247" s="44" t="str">
        <x:v>Flexural</x:v>
      </x:c>
      <x:c r="H247" s="46" t="n">
        <x:v>2.2</x:v>
      </x:c>
      <x:c r="I247" s="46" t="n">
        <x:v>8</x:v>
      </x:c>
      <x:c r="J247" s="46" t="n">
        <x:v>0.05816923997501351</x:v>
      </x:c>
      <x:c r="K247" s="46" t="n">
        <x:v>0.06218820564601443</x:v>
      </x:c>
      <x:c r="L247" s="46" t="n">
        <x:v>0.1545801111380947</x:v>
      </x:c>
      <x:c r="M247" s="46" t="n">
        <x:v>0.09716907132189755</x:v>
      </x:c>
      <x:c r="N247" s="46" t="n">
        <x:v>0.4172815820543093</x:v>
      </x:c>
      <x:c r="O247" s="48" t="str">
        <x:v>R</x:v>
      </x:c>
      <x:c r="P247" s="46" t="n">
        <x:v>0</x:v>
      </x:c>
      <x:c r="Q247" s="45" t="n">
        <x:v>1</x:v>
      </x:c>
    </x:row>
    <x:row r="248">
      <x:c r="A248" s="45" t="n">
        <x:v>247</x:v>
      </x:c>
      <x:c r="B248" s="45" t="n">
        <x:v>312</x:v>
      </x:c>
      <x:c r="C248" s="45" t="n">
        <x:v>0</x:v>
      </x:c>
      <x:c r="D248" s="43" t="str">
        <x:v>SLDRCE (2008)</x:v>
      </x:c>
      <x:c r="E248" s="43" t="str">
        <x:v>Zhang_SW4-2</x:v>
      </x:c>
      <x:c r="F248" s="45" t="n">
        <x:v>1</x:v>
      </x:c>
      <x:c r="G248" s="44" t="str">
        <x:v>Flexural</x:v>
      </x:c>
      <x:c r="H248" s="46" t="n">
        <x:v>2.2</x:v>
      </x:c>
      <x:c r="I248" s="46" t="n">
        <x:v>8</x:v>
      </x:c>
      <x:c r="J248" s="46" t="n">
        <x:v>0.05816923997501351</x:v>
      </x:c>
      <x:c r="K248" s="46" t="n">
        <x:v>0.06218820564601443</x:v>
      </x:c>
      <x:c r="L248" s="46" t="n">
        <x:v>0.21676524190857221</x:v>
      </x:c>
      <x:c r="M248" s="46" t="n">
        <x:v>0.09716907132189755</x:v>
      </x:c>
      <x:c r="N248" s="46" t="n">
        <x:v>0.4172815820543093</x:v>
      </x:c>
      <x:c r="O248" s="48" t="str">
        <x:v>R</x:v>
      </x:c>
      <x:c r="P248" s="46" t="n">
        <x:v>0</x:v>
      </x:c>
      <x:c r="Q248" s="45" t="n">
        <x:v>7</x:v>
      </x:c>
    </x:row>
    <x:row r="249">
      <x:c r="A249" s="45" t="n">
        <x:v>248</x:v>
      </x:c>
      <x:c r="B249" s="45" t="n">
        <x:v>348</x:v>
      </x:c>
      <x:c r="C249" s="45" t="n">
        <x:v>1</x:v>
      </x:c>
      <x:c r="D249" s="43" t="str">
        <x:v>SLDRCE (2008)</x:v>
      </x:c>
      <x:c r="E249" s="43" t="str">
        <x:v>Zhang_SW4-3</x:v>
      </x:c>
      <x:c r="F249" s="45" t="n">
        <x:v>1</x:v>
      </x:c>
      <x:c r="G249" s="44" t="str">
        <x:v>Flexural</x:v>
      </x:c>
      <x:c r="H249" s="46" t="n">
        <x:v>2.2</x:v>
      </x:c>
      <x:c r="I249" s="46" t="n">
        <x:v>8</x:v>
      </x:c>
      <x:c r="J249" s="46" t="n">
        <x:v>0.05816923997501351</x:v>
      </x:c>
      <x:c r="K249" s="46" t="n">
        <x:v>0.06218820564601443</x:v>
      </x:c>
      <x:c r="L249" s="46" t="n">
        <x:v>0.21676524190857221</x:v>
      </x:c>
      <x:c r="M249" s="46" t="n">
        <x:v>0.09716907132189755</x:v>
      </x:c>
      <x:c r="N249" s="46" t="n">
        <x:v>0.4172815820543093</x:v>
      </x:c>
      <x:c r="O249" s="48" t="str">
        <x:v>R</x:v>
      </x:c>
      <x:c r="P249" s="46" t="n">
        <x:v>0</x:v>
      </x:c>
      <x:c r="Q249" s="45" t="n">
        <x:v>7</x:v>
      </x:c>
    </x:row>
    <x:row r="250">
      <x:c r="A250" s="45" t="n">
        <x:v>249</x:v>
      </x:c>
      <x:c r="B250" s="45" t="n">
        <x:v>315</x:v>
      </x:c>
      <x:c r="C250" s="45" t="n">
        <x:v>0</x:v>
      </x:c>
      <x:c r="D250" s="43" t="str">
        <x:v>SLDRCE (2008)</x:v>
      </x:c>
      <x:c r="E250" s="43" t="str">
        <x:v>Zhang_SW5-1</x:v>
      </x:c>
      <x:c r="F250" s="45" t="n">
        <x:v>1</x:v>
      </x:c>
      <x:c r="G250" s="44" t="str">
        <x:v>Flexural</x:v>
      </x:c>
      <x:c r="H250" s="46" t="n">
        <x:v>2.2</x:v>
      </x:c>
      <x:c r="I250" s="46" t="n">
        <x:v>8</x:v>
      </x:c>
      <x:c r="J250" s="46" t="n">
        <x:v>0.06980308797001622</x:v>
      </x:c>
      <x:c r="K250" s="46" t="n">
        <x:v>0.06218820564601443</x:v>
      </x:c>
      <x:c r="L250" s="46" t="n">
        <x:v>0.17341219352685777</x:v>
      </x:c>
      <x:c r="M250" s="46" t="n">
        <x:v>0.09716907132189755</x:v>
      </x:c>
      <x:c r="N250" s="46" t="n">
        <x:v>0.4172815820543093</x:v>
      </x:c>
      <x:c r="O250" s="48" t="str">
        <x:v>R</x:v>
      </x:c>
      <x:c r="P250" s="46" t="n">
        <x:v>0</x:v>
      </x:c>
      <x:c r="Q250" s="45" t="n">
        <x:v>1</x:v>
      </x:c>
    </x:row>
    <x:row r="251">
      <x:c r="A251" s="45" t="n">
        <x:v>250</x:v>
      </x:c>
      <x:c r="B251" s="45" t="n">
        <x:v>351</x:v>
      </x:c>
      <x:c r="C251" s="45" t="n">
        <x:v>1</x:v>
      </x:c>
      <x:c r="D251" s="43" t="str">
        <x:v>SLDRCE (2008)</x:v>
      </x:c>
      <x:c r="E251" s="43" t="str">
        <x:v>Zhang_SW5-2</x:v>
      </x:c>
      <x:c r="F251" s="45" t="n">
        <x:v>1</x:v>
      </x:c>
      <x:c r="G251" s="44" t="str">
        <x:v>Flexural</x:v>
      </x:c>
      <x:c r="H251" s="46" t="n">
        <x:v>2.2</x:v>
      </x:c>
      <x:c r="I251" s="46" t="n">
        <x:v>8</x:v>
      </x:c>
      <x:c r="J251" s="46" t="n">
        <x:v>0.05816923997501351</x:v>
      </x:c>
      <x:c r="K251" s="46" t="n">
        <x:v>0.06218820564601443</x:v>
      </x:c>
      <x:c r="L251" s="46" t="n">
        <x:v>0.21676524190857221</x:v>
      </x:c>
      <x:c r="M251" s="46" t="n">
        <x:v>0.09716907132189755</x:v>
      </x:c>
      <x:c r="N251" s="46" t="n">
        <x:v>0.4172815820543093</x:v>
      </x:c>
      <x:c r="O251" s="48" t="str">
        <x:v>R</x:v>
      </x:c>
      <x:c r="P251" s="46" t="n">
        <x:v>0</x:v>
      </x:c>
      <x:c r="Q251" s="45" t="n">
        <x:v>7</x:v>
      </x:c>
    </x:row>
    <x:row r="252">
      <x:c r="A252" s="45" t="n">
        <x:v>251</x:v>
      </x:c>
      <x:c r="B252" s="45" t="n">
        <x:v>317</x:v>
      </x:c>
      <x:c r="C252" s="45" t="n">
        <x:v>0</x:v>
      </x:c>
      <x:c r="D252" s="43" t="str">
        <x:v>SLDRCE (2008)</x:v>
      </x:c>
      <x:c r="E252" s="43" t="str">
        <x:v>Zhang_SW5-3</x:v>
      </x:c>
      <x:c r="F252" s="45" t="n">
        <x:v>1</x:v>
      </x:c>
      <x:c r="G252" s="44" t="str">
        <x:v>Flexural</x:v>
      </x:c>
      <x:c r="H252" s="46" t="n">
        <x:v>2.2</x:v>
      </x:c>
      <x:c r="I252" s="46" t="n">
        <x:v>8</x:v>
      </x:c>
      <x:c r="J252" s="46" t="n">
        <x:v>0.049859348550011576</x:v>
      </x:c>
      <x:c r="K252" s="46" t="n">
        <x:v>0.06218820564601443</x:v>
      </x:c>
      <x:c r="L252" s="46" t="n">
        <x:v>0.28902032254476295</x:v>
      </x:c>
      <x:c r="M252" s="46" t="n">
        <x:v>0.09716907132189755</x:v>
      </x:c>
      <x:c r="N252" s="46" t="n">
        <x:v>0.4172815820543093</x:v>
      </x:c>
      <x:c r="O252" s="48" t="str">
        <x:v>R</x:v>
      </x:c>
      <x:c r="P252" s="46" t="n">
        <x:v>0</x:v>
      </x:c>
      <x:c r="Q252" s="45" t="n">
        <x:v>1</x:v>
      </x:c>
    </x:row>
    <x:row r="253">
      <x:c r="A253" s="45" t="n">
        <x:v>252</x:v>
      </x:c>
      <x:c r="B253" s="45" t="n">
        <x:v>318</x:v>
      </x:c>
      <x:c r="C253" s="45" t="n">
        <x:v>0</x:v>
      </x:c>
      <x:c r="D253" s="43" t="str">
        <x:v>SLDRCE (2008)</x:v>
      </x:c>
      <x:c r="E253" s="43" t="str">
        <x:v>Zhang_SW6-1</x:v>
      </x:c>
      <x:c r="F253" s="45" t="n">
        <x:v>1</x:v>
      </x:c>
      <x:c r="G253" s="44" t="str">
        <x:v>Flexural</x:v>
      </x:c>
      <x:c r="H253" s="46" t="n">
        <x:v>2.2</x:v>
      </x:c>
      <x:c r="I253" s="46" t="n">
        <x:v>8</x:v>
      </x:c>
      <x:c r="J253" s="46" t="n">
        <x:v>0.05816923997501351</x:v>
      </x:c>
      <x:c r="K253" s="46" t="n">
        <x:v>0.019733277404104424</x:v>
      </x:c>
      <x:c r="L253" s="46" t="n">
        <x:v>0.21676524190857221</x:v>
      </x:c>
      <x:c r="M253" s="46" t="n">
        <x:v>0.030833245943913165</x:v>
      </x:c>
      <x:c r="N253" s="46" t="n">
        <x:v>0.4172815820543093</x:v>
      </x:c>
      <x:c r="O253" s="48" t="str">
        <x:v>R</x:v>
      </x:c>
      <x:c r="P253" s="46" t="n">
        <x:v>0</x:v>
      </x:c>
      <x:c r="Q253" s="45" t="n">
        <x:v>1</x:v>
      </x:c>
    </x:row>
    <x:row r="254">
      <x:c r="A254" s="45" t="n">
        <x:v>253</x:v>
      </x:c>
      <x:c r="B254" s="45" t="n">
        <x:v>354</x:v>
      </x:c>
      <x:c r="C254" s="45" t="n">
        <x:v>1</x:v>
      </x:c>
      <x:c r="D254" s="43" t="str">
        <x:v>SLDRCE (2008)</x:v>
      </x:c>
      <x:c r="E254" s="43" t="str">
        <x:v>Zhang_SW6-2</x:v>
      </x:c>
      <x:c r="F254" s="45" t="n">
        <x:v>1</x:v>
      </x:c>
      <x:c r="G254" s="44" t="str">
        <x:v>Flexural</x:v>
      </x:c>
      <x:c r="H254" s="46" t="n">
        <x:v>2.2</x:v>
      </x:c>
      <x:c r="I254" s="46" t="n">
        <x:v>8</x:v>
      </x:c>
      <x:c r="J254" s="46" t="n">
        <x:v>0.05816923997501351</x:v>
      </x:c>
      <x:c r="K254" s="46" t="n">
        <x:v>0.06218820564601443</x:v>
      </x:c>
      <x:c r="L254" s="46" t="n">
        <x:v>0.21676524190857221</x:v>
      </x:c>
      <x:c r="M254" s="46" t="n">
        <x:v>0.09716907132189755</x:v>
      </x:c>
      <x:c r="N254" s="46" t="n">
        <x:v>0.4172815820543093</x:v>
      </x:c>
      <x:c r="O254" s="48" t="str">
        <x:v>R</x:v>
      </x:c>
      <x:c r="P254" s="46" t="n">
        <x:v>0</x:v>
      </x:c>
      <x:c r="Q254" s="45" t="n">
        <x:v>7</x:v>
      </x:c>
    </x:row>
    <x:row r="255">
      <x:c r="A255" s="45" t="n">
        <x:v>254</x:v>
      </x:c>
      <x:c r="B255" s="45" t="n">
        <x:v>320</x:v>
      </x:c>
      <x:c r="C255" s="45" t="n">
        <x:v>0</x:v>
      </x:c>
      <x:c r="D255" s="43" t="str">
        <x:v>SLDRCE (2008)</x:v>
      </x:c>
      <x:c r="E255" s="43" t="str">
        <x:v>Zhang_SW6-3</x:v>
      </x:c>
      <x:c r="F255" s="45" t="n">
        <x:v>1</x:v>
      </x:c>
      <x:c r="G255" s="44" t="str">
        <x:v>Flexural</x:v>
      </x:c>
      <x:c r="H255" s="46" t="n">
        <x:v>2.2</x:v>
      </x:c>
      <x:c r="I255" s="46" t="n">
        <x:v>8</x:v>
      </x:c>
      <x:c r="J255" s="46" t="n">
        <x:v>0.05816923997501351</x:v>
      </x:c>
      <x:c r="K255" s="46" t="n">
        <x:v>0.06218820564601443</x:v>
      </x:c>
      <x:c r="L255" s="46" t="n">
        <x:v>0.21676524190857221</x:v>
      </x:c>
      <x:c r="M255" s="46" t="n">
        <x:v>0.09716907132189755</x:v>
      </x:c>
      <x:c r="N255" s="46" t="n">
        <x:v>0.4172815820543093</x:v>
      </x:c>
      <x:c r="O255" s="48" t="str">
        <x:v>R</x:v>
      </x:c>
      <x:c r="P255" s="46" t="n">
        <x:v>0</x:v>
      </x:c>
      <x:c r="Q255" s="45" t="n">
        <x:v>7</x:v>
      </x:c>
    </x:row>
    <x:row r="256">
      <x:c r="A256" s="45" t="n">
        <x:v>255</x:v>
      </x:c>
      <x:c r="B256" s="45" t="n">
        <x:v>321</x:v>
      </x:c>
      <x:c r="C256" s="45" t="n">
        <x:v>0</x:v>
      </x:c>
      <x:c r="D256" s="43" t="str">
        <x:v>Greifenhagen and Lestuzzi (2005)</x:v>
      </x:c>
      <x:c r="E256" s="43" t="str">
        <x:v>M1</x:v>
      </x:c>
      <x:c r="F256" s="45" t="n">
        <x:v>1</x:v>
      </x:c>
      <x:c r="G256" s="44" t="str">
        <x:v>Flexural</x:v>
      </x:c>
      <x:c r="H256" s="46" t="n">
        <x:v>0.69</x:v>
      </x:c>
      <x:c r="I256" s="46" t="n">
        <x:v>10</x:v>
      </x:c>
      <x:c r="J256" s="46" t="n">
        <x:v>0.02982248520710059</x:v>
      </x:c>
      <x:c r="K256" s="46" t="n">
        <x:v>0.02982248520710059</x:v>
      </x:c>
      <x:c r="L256" s="46" t="n">
        <x:v>0</x:v>
      </x:c>
      <x:c r="M256" s="46" t="n">
        <x:v>0</x:v>
      </x:c>
      <x:c r="N256" s="46" t="n">
        <x:v>0.026627218934911243</x:v>
      </x:c>
      <x:c r="O256" s="48" t="str">
        <x:v>R</x:v>
      </x:c>
      <x:c r="P256" s="46" t="n">
        <x:v>0</x:v>
      </x:c>
      <x:c r="Q256" s="45" t="n">
        <x:v>1</x:v>
      </x:c>
    </x:row>
    <x:row r="257">
      <x:c r="A257" s="45" t="n">
        <x:v>256</x:v>
      </x:c>
      <x:c r="B257" s="45" t="n">
        <x:v>322</x:v>
      </x:c>
      <x:c r="C257" s="45" t="n">
        <x:v>0</x:v>
      </x:c>
      <x:c r="D257" s="43" t="str">
        <x:v>Greifenhagen and Lestuzzi (2005)</x:v>
      </x:c>
      <x:c r="E257" s="43" t="str">
        <x:v>M2</x:v>
      </x:c>
      <x:c r="F257" s="45" t="n">
        <x:v>1</x:v>
      </x:c>
      <x:c r="G257" s="44" t="str">
        <x:v>Flexural</x:v>
      </x:c>
      <x:c r="H257" s="46" t="n">
        <x:v>0.69</x:v>
      </x:c>
      <x:c r="I257" s="46" t="n">
        <x:v>10</x:v>
      </x:c>
      <x:c r="J257" s="46" t="n">
        <x:v>0.029647058823529412</x:v>
      </x:c>
      <x:c r="K257" s="46" t="n">
        <x:v>0</x:v>
      </x:c>
      <x:c r="L257" s="46" t="n">
        <x:v>0</x:v>
      </x:c>
      <x:c r="M257" s="46" t="n">
        <x:v>0</x:v>
      </x:c>
      <x:c r="N257" s="46" t="n">
        <x:v>0.027450980392156862</x:v>
      </x:c>
      <x:c r="O257" s="48" t="str">
        <x:v>R</x:v>
      </x:c>
      <x:c r="P257" s="46" t="n">
        <x:v>0</x:v>
      </x:c>
      <x:c r="Q257" s="45" t="n">
        <x:v>1</x:v>
      </x:c>
    </x:row>
    <x:row r="258">
      <x:c r="A258" s="45" t="n">
        <x:v>257</x:v>
      </x:c>
      <x:c r="B258" s="45" t="n">
        <x:v>323</x:v>
      </x:c>
      <x:c r="C258" s="45" t="n">
        <x:v>0</x:v>
      </x:c>
      <x:c r="D258" s="43" t="str">
        <x:v>Greifenhagen and Lestuzzi (2005)</x:v>
      </x:c>
      <x:c r="E258" s="43" t="str">
        <x:v>M3</x:v>
      </x:c>
      <x:c r="F258" s="45" t="n">
        <x:v>2</x:v>
      </x:c>
      <x:c r="G258" s="44" t="str">
        <x:v>Shear</x:v>
      </x:c>
      <x:c r="H258" s="46" t="n">
        <x:v>0.7666666666666667</x:v>
      </x:c>
      <x:c r="I258" s="46" t="n">
        <x:v>11.25</x:v>
      </x:c>
      <x:c r="J258" s="46" t="n">
        <x:v>0.07522388059701492</x:v>
      </x:c>
      <x:c r="K258" s="46" t="n">
        <x:v>0.11119402985074625</x:v>
      </x:c>
      <x:c r="L258" s="46" t="n">
        <x:v>0</x:v>
      </x:c>
      <x:c r="M258" s="46" t="n">
        <x:v>0</x:v>
      </x:c>
      <x:c r="N258" s="46" t="n">
        <x:v>0.09673852957435046</x:v>
      </x:c>
      <x:c r="O258" s="48" t="str">
        <x:v>R</x:v>
      </x:c>
      <x:c r="P258" s="46" t="n">
        <x:v>0</x:v>
      </x:c>
      <x:c r="Q258" s="45" t="n">
        <x:v>1</x:v>
      </x:c>
    </x:row>
    <x:row r="259">
      <x:c r="A259" s="45" t="n">
        <x:v>258</x:v>
      </x:c>
      <x:c r="B259" s="45" t="n">
        <x:v>324</x:v>
      </x:c>
      <x:c r="C259" s="45" t="n">
        <x:v>0</x:v>
      </x:c>
      <x:c r="D259" s="43" t="str">
        <x:v>Greifenhagen and Lestuzzi (2005)</x:v>
      </x:c>
      <x:c r="E259" s="43" t="str">
        <x:v>M4</x:v>
      </x:c>
      <x:c r="F259" s="45" t="n">
        <x:v>1</x:v>
      </x:c>
      <x:c r="G259" s="44" t="str">
        <x:v>Flexural</x:v>
      </x:c>
      <x:c r="H259" s="46" t="n">
        <x:v>0.7666666666666667</x:v>
      </x:c>
      <x:c r="I259" s="46" t="n">
        <x:v>11.25</x:v>
      </x:c>
      <x:c r="J259" s="46" t="n">
        <x:v>0.0619672131147541</x:v>
      </x:c>
      <x:c r="K259" s="46" t="n">
        <x:v>0.0915983606557377</x:v>
      </x:c>
      <x:c r="L259" s="46" t="n">
        <x:v>0</x:v>
      </x:c>
      <x:c r="M259" s="46" t="n">
        <x:v>0</x:v>
      </x:c>
      <x:c r="N259" s="46" t="n">
        <x:v>0.04952185792349727</x:v>
      </x:c>
      <x:c r="O259" s="48" t="str">
        <x:v>R</x:v>
      </x:c>
      <x:c r="P259" s="46" t="n">
        <x:v>0</x:v>
      </x:c>
      <x:c r="Q259" s="45" t="n">
        <x:v>1</x:v>
      </x:c>
    </x:row>
    <x:row r="260">
      <x:c r="A260" s="45" t="n">
        <x:v>259</x:v>
      </x:c>
      <x:c r="B260" s="45" t="n">
        <x:v>325</x:v>
      </x:c>
      <x:c r="C260" s="45" t="n">
        <x:v>0</x:v>
      </x:c>
      <x:c r="D260" s="43" t="str">
        <x:v>Tasnimi (2000)</x:v>
      </x:c>
      <x:c r="E260" s="43" t="str">
        <x:v>SHW1</x:v>
      </x:c>
      <x:c r="F260" s="45" t="n">
        <x:v>1</x:v>
      </x:c>
      <x:c r="G260" s="44" t="str">
        <x:v>Flexural</x:v>
      </x:c>
      <x:c r="H260" s="46" t="n">
        <x:v>2.2</x:v>
      </x:c>
      <x:c r="I260" s="46" t="n">
        <x:v>10</x:v>
      </x:c>
      <x:c r="J260" s="46" t="n">
        <x:v>0.06688888888888889</x:v>
      </x:c>
      <x:c r="K260" s="46" t="n">
        <x:v>0.027999999999999997</x:v>
      </x:c>
      <x:c r="L260" s="46" t="n">
        <x:v>0.2862222222222222</x:v>
      </x:c>
      <x:c r="M260" s="46" t="n">
        <x:v>0</x:v>
      </x:c>
      <x:c r="N260" s="46" t="n">
        <x:v>0</x:v>
      </x:c>
      <x:c r="O260" s="48" t="str">
        <x:v>R</x:v>
      </x:c>
      <x:c r="P260" s="46" t="n">
        <x:v>0</x:v>
      </x:c>
      <x:c r="Q260" s="45" t="n">
        <x:v>2</x:v>
      </x:c>
    </x:row>
    <x:row r="261">
      <x:c r="A261" s="45" t="n">
        <x:v>260</x:v>
      </x:c>
      <x:c r="B261" s="45" t="n">
        <x:v>326</x:v>
      </x:c>
      <x:c r="C261" s="45" t="n">
        <x:v>0</x:v>
      </x:c>
      <x:c r="D261" s="43" t="str">
        <x:v>Tasnimi (2000)</x:v>
      </x:c>
      <x:c r="E261" s="43" t="str">
        <x:v>SHW2</x:v>
      </x:c>
      <x:c r="F261" s="45" t="n">
        <x:v>1</x:v>
      </x:c>
      <x:c r="G261" s="44" t="str">
        <x:v>Flexural</x:v>
      </x:c>
      <x:c r="H261" s="46" t="n">
        <x:v>2.2</x:v>
      </x:c>
      <x:c r="I261" s="46" t="n">
        <x:v>10</x:v>
      </x:c>
      <x:c r="J261" s="46" t="n">
        <x:v>0.06688888888888889</x:v>
      </x:c>
      <x:c r="K261" s="46" t="n">
        <x:v>0.027999999999999997</x:v>
      </x:c>
      <x:c r="L261" s="46" t="n">
        <x:v>0.2862222222222222</x:v>
      </x:c>
      <x:c r="M261" s="46" t="n">
        <x:v>0</x:v>
      </x:c>
      <x:c r="N261" s="46" t="n">
        <x:v>0</x:v>
      </x:c>
      <x:c r="O261" s="48" t="str">
        <x:v>R</x:v>
      </x:c>
      <x:c r="P261" s="46" t="n">
        <x:v>0</x:v>
      </x:c>
      <x:c r="Q261" s="45" t="n">
        <x:v>2</x:v>
      </x:c>
    </x:row>
    <x:row r="262">
      <x:c r="A262" s="45" t="n">
        <x:v>261</x:v>
      </x:c>
      <x:c r="B262" s="45" t="n">
        <x:v>327</x:v>
      </x:c>
      <x:c r="C262" s="45" t="n">
        <x:v>0</x:v>
      </x:c>
      <x:c r="D262" s="43" t="str">
        <x:v>Tasnimi (2000)</x:v>
      </x:c>
      <x:c r="E262" s="43" t="str">
        <x:v>SHW3</x:v>
      </x:c>
      <x:c r="F262" s="45" t="n">
        <x:v>1</x:v>
      </x:c>
      <x:c r="G262" s="44" t="str">
        <x:v>Flexural</x:v>
      </x:c>
      <x:c r="H262" s="46" t="n">
        <x:v>2.2</x:v>
      </x:c>
      <x:c r="I262" s="46" t="n">
        <x:v>10</x:v>
      </x:c>
      <x:c r="J262" s="46" t="n">
        <x:v>0.06421333333333333</x:v>
      </x:c>
      <x:c r="K262" s="46" t="n">
        <x:v>0.02688</x:v>
      </x:c>
      <x:c r="L262" s="46" t="n">
        <x:v>0.27477333333333337</x:v>
      </x:c>
      <x:c r="M262" s="46" t="n">
        <x:v>0</x:v>
      </x:c>
      <x:c r="N262" s="46" t="n">
        <x:v>0</x:v>
      </x:c>
      <x:c r="O262" s="48" t="str">
        <x:v>R</x:v>
      </x:c>
      <x:c r="P262" s="46" t="n">
        <x:v>0</x:v>
      </x:c>
      <x:c r="Q262" s="45" t="n">
        <x:v>1</x:v>
      </x:c>
    </x:row>
    <x:row r="263">
      <x:c r="A263" s="45" t="n">
        <x:v>262</x:v>
      </x:c>
      <x:c r="B263" s="45" t="n">
        <x:v>328</x:v>
      </x:c>
      <x:c r="C263" s="45" t="n">
        <x:v>0</x:v>
      </x:c>
      <x:c r="D263" s="43" t="str">
        <x:v>Tasnimi (2000)</x:v>
      </x:c>
      <x:c r="E263" s="43" t="str">
        <x:v>SHW4</x:v>
      </x:c>
      <x:c r="F263" s="45" t="n">
        <x:v>1</x:v>
      </x:c>
      <x:c r="G263" s="44" t="str">
        <x:v>Flexural</x:v>
      </x:c>
      <x:c r="H263" s="46" t="n">
        <x:v>2.2</x:v>
      </x:c>
      <x:c r="I263" s="46" t="n">
        <x:v>10</x:v>
      </x:c>
      <x:c r="J263" s="46" t="n">
        <x:v>0.06148085106382979</x:v>
      </x:c>
      <x:c r="K263" s="46" t="n">
        <x:v>0.025736170212765957</x:v>
      </x:c>
      <x:c r="L263" s="46" t="n">
        <x:v>0.2630808510638298</x:v>
      </x:c>
      <x:c r="M263" s="46" t="n">
        <x:v>0</x:v>
      </x:c>
      <x:c r="N263" s="46" t="n">
        <x:v>0</x:v>
      </x:c>
      <x:c r="O263" s="48" t="str">
        <x:v>R</x:v>
      </x:c>
      <x:c r="P263" s="46" t="n">
        <x:v>0</x:v>
      </x:c>
      <x:c r="Q263" s="45" t="n">
        <x:v>1</x:v>
      </x:c>
    </x:row>
    <x:row r="264">
      <x:c r="A264" s="45" t="n">
        <x:v>263</x:v>
      </x:c>
      <x:c r="B264" s="45" t="n">
        <x:v>329</x:v>
      </x:c>
      <x:c r="C264" s="45" t="n">
        <x:v>0</x:v>
      </x:c>
      <x:c r="D264" s="43" t="str">
        <x:v>Aoyama et al. (1984)</x:v>
      </x:c>
      <x:c r="E264" s="43" t="str">
        <x:v>P2015</x:v>
      </x:c>
      <x:c r="F264" s="45" t="n">
        <x:v>3</x:v>
      </x:c>
      <x:c r="G264" s="44" t="str">
        <x:v>Flex-Shear</x:v>
      </x:c>
      <x:c r="H264" s="46" t="n">
        <x:v>0.5</x:v>
      </x:c>
      <x:c r="I264" s="46" t="n">
        <x:v>22</x:v>
      </x:c>
      <x:c r="J264" s="46" t="n">
        <x:v>0.08964646464646465</x:v>
      </x:c>
      <x:c r="K264" s="46" t="n">
        <x:v>0.22846868686868688</x:v>
      </x:c>
      <x:c r="L264" s="46" t="n">
        <x:v>0.4617575757575757</x:v>
      </x:c>
      <x:c r="M264" s="46" t="n">
        <x:v>0.06527676767676768</x:v>
      </x:c>
      <x:c r="N264" s="46" t="n">
        <x:v>0.031080031080031083</x:v>
      </x:c>
      <x:c r="O264" s="48" t="str">
        <x:v>B</x:v>
      </x:c>
      <x:c r="P264" s="46" t="n">
        <x:v>0.15384615384615385</x:v>
      </x:c>
      <x:c r="Q264" s="45" t="n">
        <x:v>1</x:v>
      </x:c>
    </x:row>
    <x:row r="265">
      <x:c r="A265" s="45" t="n">
        <x:v>264</x:v>
      </x:c>
      <x:c r="B265" s="45" t="n">
        <x:v>330</x:v>
      </x:c>
      <x:c r="C265" s="45" t="n">
        <x:v>0</x:v>
      </x:c>
      <x:c r="D265" s="43" t="str">
        <x:v>Chiou et al. (2004)</x:v>
      </x:c>
      <x:c r="E265" s="43" t="str">
        <x:v>MWF1</x:v>
      </x:c>
      <x:c r="F265" s="45" t="n">
        <x:v>2</x:v>
      </x:c>
      <x:c r="G265" s="44" t="str">
        <x:v>Shear</x:v>
      </x:c>
      <x:c r="H265" s="46" t="n">
        <x:v>0.88</x:v>
      </x:c>
      <x:c r="I265" s="46" t="n">
        <x:v>20.833333333333332</x:v>
      </x:c>
      <x:c r="J265" s="46" t="n">
        <x:v>0.074334157782516</x:v>
      </x:c>
      <x:c r="K265" s="46" t="n">
        <x:v>0.03912324093816631</x:v>
      </x:c>
      <x:c r="L265" s="46" t="n">
        <x:v>0.2145415778251599</x:v>
      </x:c>
      <x:c r="M265" s="46" t="n">
        <x:v>0.05868486140724947</x:v>
      </x:c>
      <x:c r="N265" s="46" t="n">
        <x:v>0</x:v>
      </x:c>
      <x:c r="O265" s="48" t="str">
        <x:v>B</x:v>
      </x:c>
      <x:c r="P265" s="46" t="n">
        <x:v>0.17123287671232876</x:v>
      </x:c>
      <x:c r="Q265" s="45" t="n">
        <x:v>1</x:v>
      </x:c>
    </x:row>
    <x:row r="266">
      <x:c r="A266" s="45" t="n">
        <x:v>265</x:v>
      </x:c>
      <x:c r="B266" s="45" t="n">
        <x:v>331</x:v>
      </x:c>
      <x:c r="C266" s="45" t="n">
        <x:v>0</x:v>
      </x:c>
      <x:c r="D266" s="43" t="str">
        <x:v>Chiou et al. (2004)</x:v>
      </x:c>
      <x:c r="E266" s="43" t="str">
        <x:v>MWF2</x:v>
      </x:c>
      <x:c r="F266" s="45" t="n">
        <x:v>2</x:v>
      </x:c>
      <x:c r="G266" s="44" t="str">
        <x:v>Shear</x:v>
      </x:c>
      <x:c r="H266" s="46" t="n">
        <x:v>0.88</x:v>
      </x:c>
      <x:c r="I266" s="46" t="n">
        <x:v>20.833333333333332</x:v>
      </x:c>
      <x:c r="J266" s="46" t="n">
        <x:v>0.05477253731343284</x:v>
      </x:c>
      <x:c r="K266" s="46" t="n">
        <x:v>0.03912324093816631</x:v>
      </x:c>
      <x:c r="L266" s="46" t="n">
        <x:v>0.2145415778251599</x:v>
      </x:c>
      <x:c r="M266" s="46" t="n">
        <x:v>0.05868486140724947</x:v>
      </x:c>
      <x:c r="N266" s="46" t="n">
        <x:v>0</x:v>
      </x:c>
      <x:c r="O266" s="48" t="str">
        <x:v>B</x:v>
      </x:c>
      <x:c r="P266" s="46" t="n">
        <x:v>0.17123287671232876</x:v>
      </x:c>
      <x:c r="Q266" s="45" t="n">
        <x:v>1</x:v>
      </x:c>
    </x:row>
    <x:row r="267">
      <x:c r="A267" s="45" t="n">
        <x:v>266</x:v>
      </x:c>
      <x:c r="B267" s="45" t="n">
        <x:v>332</x:v>
      </x:c>
      <x:c r="C267" s="45" t="n">
        <x:v>0</x:v>
      </x:c>
      <x:c r="D267" s="43" t="str">
        <x:v>Chiou et al. (2004)</x:v>
      </x:c>
      <x:c r="E267" s="43" t="str">
        <x:v>LWF1</x:v>
      </x:c>
      <x:c r="F267" s="45" t="n">
        <x:v>2</x:v>
      </x:c>
      <x:c r="G267" s="44" t="str">
        <x:v>Shear</x:v>
      </x:c>
      <x:c r="H267" s="46" t="n">
        <x:v>0.6875</x:v>
      </x:c>
      <x:c r="I267" s="46" t="n">
        <x:v>26.666666666666668</x:v>
      </x:c>
      <x:c r="J267" s="46" t="n">
        <x:v>0.07339520000000001</x:v>
      </x:c>
      <x:c r="K267" s="46" t="n">
        <x:v>0.038629052631578946</x:v>
      </x:c>
      <x:c r="L267" s="46" t="n">
        <x:v>0.2118315789473684</x:v>
      </x:c>
      <x:c r="M267" s="46" t="n">
        <x:v>0.05794357894736842</x:v>
      </x:c>
      <x:c r="N267" s="46" t="n">
        <x:v>0</x:v>
      </x:c>
      <x:c r="O267" s="48" t="str">
        <x:v>B</x:v>
      </x:c>
      <x:c r="P267" s="46" t="n">
        <x:v>0.13919821826280623</x:v>
      </x:c>
      <x:c r="Q267" s="45" t="n">
        <x:v>1</x:v>
      </x:c>
    </x:row>
    <x:row r="268">
      <x:c r="A268" s="45" t="n">
        <x:v>267</x:v>
      </x:c>
      <x:c r="B268" s="45" t="n">
        <x:v>333</x:v>
      </x:c>
      <x:c r="C268" s="45" t="n">
        <x:v>0</x:v>
      </x:c>
      <x:c r="D268" s="43" t="str">
        <x:v>Chiou et al. (2004)</x:v>
      </x:c>
      <x:c r="E268" s="43" t="str">
        <x:v>LWF2</x:v>
      </x:c>
      <x:c r="F268" s="45" t="n">
        <x:v>2</x:v>
      </x:c>
      <x:c r="G268" s="44" t="str">
        <x:v>Shear</x:v>
      </x:c>
      <x:c r="H268" s="46" t="n">
        <x:v>0.6875</x:v>
      </x:c>
      <x:c r="I268" s="46" t="n">
        <x:v>26.666666666666668</x:v>
      </x:c>
      <x:c r="J268" s="46" t="n">
        <x:v>0.054080673684210524</x:v>
      </x:c>
      <x:c r="K268" s="46" t="n">
        <x:v>0.038629052631578946</x:v>
      </x:c>
      <x:c r="L268" s="46" t="n">
        <x:v>0.2118315789473684</x:v>
      </x:c>
      <x:c r="M268" s="46" t="n">
        <x:v>0.05794357894736842</x:v>
      </x:c>
      <x:c r="N268" s="46" t="n">
        <x:v>0</x:v>
      </x:c>
      <x:c r="O268" s="48" t="str">
        <x:v>B</x:v>
      </x:c>
      <x:c r="P268" s="46" t="n">
        <x:v>0.13919821826280623</x:v>
      </x:c>
      <x:c r="Q268" s="45" t="n">
        <x:v>1</x:v>
      </x:c>
    </x:row>
    <x:row r="269">
      <x:c r="A269" s="45" t="n">
        <x:v>268</x:v>
      </x:c>
      <x:c r="B269" s="45" t="n">
        <x:v>334</x:v>
      </x:c>
      <x:c r="C269" s="45" t="n">
        <x:v>0</x:v>
      </x:c>
      <x:c r="D269" s="43" t="str">
        <x:v>Cho et al.(2004)</x:v>
      </x:c>
      <x:c r="E269" s="43" t="str">
        <x:v>W3</x:v>
      </x:c>
      <x:c r="F269" s="45" t="n">
        <x:v>1</x:v>
      </x:c>
      <x:c r="G269" s="44" t="str">
        <x:v>Flexural</x:v>
      </x:c>
      <x:c r="H269" s="46" t="n">
        <x:v>3.75</x:v>
      </x:c>
      <x:c r="I269" s="46" t="n">
        <x:v>6.578947368421052</x:v>
      </x:c>
      <x:c r="J269" s="46" t="n">
        <x:v>0.05800516795865633</x:v>
      </x:c>
      <x:c r="K269" s="46" t="n">
        <x:v>0.07691989664082688</x:v>
      </x:c>
      <x:c r="L269" s="46" t="n">
        <x:v>0.8453488372093023</x:v>
      </x:c>
      <x:c r="M269" s="46" t="n">
        <x:v>0.061788113695090435</x:v>
      </x:c>
      <x:c r="N269" s="46" t="n">
        <x:v>0.09999999999999999</x:v>
      </x:c>
      <x:c r="O269" s="48" t="str">
        <x:v>R</x:v>
      </x:c>
      <x:c r="P269" s="46" t="n">
        <x:v>0</x:v>
      </x:c>
      <x:c r="Q269" s="45" t="n">
        <x:v>1</x:v>
      </x:c>
    </x:row>
    <x:row r="270">
      <x:c r="A270" s="45" t="n">
        <x:v>269</x:v>
      </x:c>
      <x:c r="B270" s="45" t="n">
        <x:v>335</x:v>
      </x:c>
      <x:c r="C270" s="45" t="n">
        <x:v>0</x:v>
      </x:c>
      <x:c r="D270" s="43" t="str">
        <x:v>Deng et al.(2008)</x:v>
      </x:c>
      <x:c r="E270" s="43" t="str">
        <x:v>HPCW-01</x:v>
      </x:c>
      <x:c r="F270" s="45" t="n">
        <x:v>1</x:v>
      </x:c>
      <x:c r="G270" s="44" t="str">
        <x:v>Flexural</x:v>
      </x:c>
      <x:c r="H270" s="46" t="n">
        <x:v>2.1</x:v>
      </x:c>
      <x:c r="I270" s="46" t="n">
        <x:v>10</x:v>
      </x:c>
      <x:c r="J270" s="46" t="n">
        <x:v>0.014715936838678171</x:v>
      </x:c>
      <x:c r="K270" s="46" t="n">
        <x:v>0.03885007325411037</x:v>
      </x:c>
      <x:c r="L270" s="46" t="n">
        <x:v>0.21513348526778447</x:v>
      </x:c>
      <x:c r="M270" s="46" t="n">
        <x:v>0.029431873677356342</x:v>
      </x:c>
      <x:c r="N270" s="46" t="n">
        <x:v>0.1634380595800098</x:v>
      </x:c>
      <x:c r="O270" s="48" t="str">
        <x:v>R</x:v>
      </x:c>
      <x:c r="P270" s="46" t="n">
        <x:v>0</x:v>
      </x:c>
      <x:c r="Q270" s="45" t="n">
        <x:v>1</x:v>
      </x:c>
    </x:row>
    <x:row r="271">
      <x:c r="A271" s="45" t="n">
        <x:v>270</x:v>
      </x:c>
      <x:c r="B271" s="45" t="n">
        <x:v>336</x:v>
      </x:c>
      <x:c r="C271" s="45" t="n">
        <x:v>0</x:v>
      </x:c>
      <x:c r="D271" s="43" t="str">
        <x:v>Deng et al.(2008)</x:v>
      </x:c>
      <x:c r="E271" s="43" t="str">
        <x:v>HPCW-02</x:v>
      </x:c>
      <x:c r="F271" s="45" t="n">
        <x:v>1</x:v>
      </x:c>
      <x:c r="G271" s="44" t="str">
        <x:v>Flexural</x:v>
      </x:c>
      <x:c r="H271" s="46" t="n">
        <x:v>2.1</x:v>
      </x:c>
      <x:c r="I271" s="46" t="n">
        <x:v>10</x:v>
      </x:c>
      <x:c r="J271" s="46" t="n">
        <x:v>0.012289287656334965</x:v>
      </x:c>
      <x:c r="K271" s="46" t="n">
        <x:v>0.03244371941272431</x:v>
      </x:c>
      <x:c r="L271" s="46" t="n">
        <x:v>0.13783605220228384</x:v>
      </x:c>
      <x:c r="M271" s="46" t="n">
        <x:v>0.03932572050027189</x:v>
      </x:c>
      <x:c r="N271" s="46" t="n">
        <x:v>0.13648722131593258</x:v>
      </x:c>
      <x:c r="O271" s="48" t="str">
        <x:v>R</x:v>
      </x:c>
      <x:c r="P271" s="46" t="n">
        <x:v>0</x:v>
      </x:c>
      <x:c r="Q271" s="45" t="n">
        <x:v>1</x:v>
      </x:c>
    </x:row>
    <x:row r="272">
      <x:c r="A272" s="45" t="n">
        <x:v>271</x:v>
      </x:c>
      <x:c r="B272" s="45" t="n">
        <x:v>337</x:v>
      </x:c>
      <x:c r="C272" s="45" t="n">
        <x:v>0</x:v>
      </x:c>
      <x:c r="D272" s="43" t="str">
        <x:v>Deng et al.(2008)</x:v>
      </x:c>
      <x:c r="E272" s="43" t="str">
        <x:v>HPCW-03</x:v>
      </x:c>
      <x:c r="F272" s="45" t="n">
        <x:v>1</x:v>
      </x:c>
      <x:c r="G272" s="44" t="str">
        <x:v>Flexural</x:v>
      </x:c>
      <x:c r="H272" s="46" t="n">
        <x:v>2.1</x:v>
      </x:c>
      <x:c r="I272" s="46" t="n">
        <x:v>10</x:v>
      </x:c>
      <x:c r="J272" s="46" t="n">
        <x:v>0.012002124269782264</x:v>
      </x:c>
      <x:c r="K272" s="46" t="n">
        <x:v>0.048008497079129055</x:v>
      </x:c>
      <x:c r="L272" s="46" t="n">
        <x:v>0.17143308550185876</x:v>
      </x:c>
      <x:c r="M272" s="46" t="n">
        <x:v>0.03168560807222518</x:v>
      </x:c>
      <x:c r="N272" s="46" t="n">
        <x:v>0.13329792883696231</x:v>
      </x:c>
      <x:c r="O272" s="48" t="str">
        <x:v>R</x:v>
      </x:c>
      <x:c r="P272" s="46" t="n">
        <x:v>0</x:v>
      </x:c>
      <x:c r="Q272" s="45" t="n">
        <x:v>1</x:v>
      </x:c>
    </x:row>
    <x:row r="273">
      <x:c r="A273" s="45" t="n">
        <x:v>272</x:v>
      </x:c>
      <x:c r="B273" s="45" t="n">
        <x:v>338</x:v>
      </x:c>
      <x:c r="C273" s="45" t="n">
        <x:v>0</x:v>
      </x:c>
      <x:c r="D273" s="43" t="str">
        <x:v>Deng et al.(2008)</x:v>
      </x:c>
      <x:c r="E273" s="43" t="str">
        <x:v>HPCW-04</x:v>
      </x:c>
      <x:c r="F273" s="45" t="n">
        <x:v>1</x:v>
      </x:c>
      <x:c r="G273" s="44" t="str">
        <x:v>Flexural</x:v>
      </x:c>
      <x:c r="H273" s="46" t="n">
        <x:v>2.1</x:v>
      </x:c>
      <x:c r="I273" s="46" t="n">
        <x:v>10</x:v>
      </x:c>
      <x:c r="J273" s="46" t="n">
        <x:v>0.006305510346431063</x:v>
      </x:c>
      <x:c r="K273" s="46" t="n">
        <x:v>0.04203673564287375</x:v>
      </x:c>
      <x:c r="L273" s="46" t="n">
        <x:v>0.11686305510346431</x:v>
      </x:c>
      <x:c r="M273" s="46" t="n">
        <x:v>0.033629388514299</x:v>
      </x:c>
      <x:c r="N273" s="46" t="n">
        <x:v>0.11671704254824461</x:v>
      </x:c>
      <x:c r="O273" s="48" t="str">
        <x:v>R</x:v>
      </x:c>
      <x:c r="P273" s="46" t="n">
        <x:v>0</x:v>
      </x:c>
      <x:c r="Q273" s="45" t="n">
        <x:v>1</x:v>
      </x:c>
    </x:row>
    <x:row r="274">
      <x:c r="A274" s="45" t="n">
        <x:v>273</x:v>
      </x:c>
      <x:c r="B274" s="45" t="n">
        <x:v>339</x:v>
      </x:c>
      <x:c r="C274" s="45" t="n">
        <x:v>0</x:v>
      </x:c>
      <x:c r="D274" s="43" t="str">
        <x:v>Elnashai and Pinho (1998)</x:v>
      </x:c>
      <x:c r="E274" s="43" t="str">
        <x:v>Original</x:v>
      </x:c>
      <x:c r="F274" s="45" t="n">
        <x:v>1</x:v>
      </x:c>
      <x:c r="G274" s="44" t="str">
        <x:v>Flexural</x:v>
      </x:c>
      <x:c r="H274" s="46" t="n">
        <x:v>2.0833333333333335</x:v>
      </x:c>
      <x:c r="I274" s="46" t="n">
        <x:v>10</x:v>
      </x:c>
      <x:c r="J274" s="46" t="n">
        <x:v>0.05215896893873255</x:v>
      </x:c>
      <x:c r="K274" s="46" t="n">
        <x:v>0.10142021738086884</x:v>
      </x:c>
      <x:c r="L274" s="46" t="n">
        <x:v>0.23603250590456745</x:v>
      </x:c>
      <x:c r="M274" s="46" t="n">
        <x:v>0.4056808695234754</x:v>
      </x:c>
      <x:c r="N274" s="46" t="n">
        <x:v>0</x:v>
      </x:c>
      <x:c r="O274" s="48" t="str">
        <x:v>R</x:v>
      </x:c>
      <x:c r="P274" s="46" t="n">
        <x:v>0</x:v>
      </x:c>
      <x:c r="Q274" s="45" t="n">
        <x:v>1</x:v>
      </x:c>
    </x:row>
    <x:row r="275">
      <x:c r="A275" s="45" t="n">
        <x:v>274</x:v>
      </x:c>
      <x:c r="B275" s="45" t="n">
        <x:v>340</x:v>
      </x:c>
      <x:c r="C275" s="45" t="n">
        <x:v>0</x:v>
      </x:c>
      <x:c r="D275" s="43" t="str">
        <x:v>Hsiao et al.(2008)</x:v>
      </x:c>
      <x:c r="E275" s="43" t="str">
        <x:v>MW1</x:v>
      </x:c>
      <x:c r="F275" s="45" t="n">
        <x:v>2</x:v>
      </x:c>
      <x:c r="G275" s="44" t="str">
        <x:v>Shear</x:v>
      </x:c>
      <x:c r="H275" s="46" t="n">
        <x:v>0.908</x:v>
      </x:c>
      <x:c r="I275" s="46" t="n">
        <x:v>31.25</x:v>
      </x:c>
      <x:c r="J275" s="46" t="n">
        <x:v>0.04569230769230769</x:v>
      </x:c>
      <x:c r="K275" s="46" t="n">
        <x:v>0.04594405594405594</x:v>
      </x:c>
      <x:c r="L275" s="46" t="n">
        <x:v>0.08283216783216782</x:v>
      </x:c>
      <x:c r="M275" s="46" t="n">
        <x:v>0.07274475524475525</x:v>
      </x:c>
      <x:c r="N275" s="46" t="n">
        <x:v>0</x:v>
      </x:c>
      <x:c r="O275" s="48" t="str">
        <x:v>B</x:v>
      </x:c>
      <x:c r="P275" s="46" t="n">
        <x:v>0.4432624113475177</x:v>
      </x:c>
      <x:c r="Q275" s="45" t="n">
        <x:v>1</x:v>
      </x:c>
    </x:row>
    <x:row r="276">
      <x:c r="A276" s="45" t="n">
        <x:v>275</x:v>
      </x:c>
      <x:c r="B276" s="45" t="n">
        <x:v>341</x:v>
      </x:c>
      <x:c r="C276" s="45" t="n">
        <x:v>0</x:v>
      </x:c>
      <x:c r="D276" s="43" t="str">
        <x:v>Hsiao et al.(2008)</x:v>
      </x:c>
      <x:c r="E276" s="43" t="str">
        <x:v>LW1</x:v>
      </x:c>
      <x:c r="F276" s="45" t="n">
        <x:v>2</x:v>
      </x:c>
      <x:c r="G276" s="44" t="str">
        <x:v>Shear</x:v>
      </x:c>
      <x:c r="H276" s="46" t="n">
        <x:v>0.6485714285714286</x:v>
      </x:c>
      <x:c r="I276" s="46" t="n">
        <x:v>43.75</x:v>
      </x:c>
      <x:c r="J276" s="46" t="n">
        <x:v>0.047868131868131866</x:v>
      </x:c>
      <x:c r="K276" s="46" t="n">
        <x:v>0.048131868131868136</x:v>
      </x:c>
      <x:c r="L276" s="46" t="n">
        <x:v>0.08677655677655677</x:v>
      </x:c>
      <x:c r="M276" s="46" t="n">
        <x:v>0.021391941391941394</x:v>
      </x:c>
      <x:c r="N276" s="46" t="n">
        <x:v>0</x:v>
      </x:c>
      <x:c r="O276" s="48" t="str">
        <x:v>B</x:v>
      </x:c>
      <x:c r="P276" s="46" t="n">
        <x:v>0.41946308724832215</x:v>
      </x:c>
      <x:c r="Q276" s="45" t="n">
        <x:v>1</x:v>
      </x:c>
    </x:row>
    <x:row r="277">
      <x:c r="A277" s="45" t="n">
        <x:v>276</x:v>
      </x:c>
      <x:c r="B277" s="45" t="n">
        <x:v>342</x:v>
      </x:c>
      <x:c r="C277" s="45" t="n">
        <x:v>0</x:v>
      </x:c>
      <x:c r="D277" s="43" t="str">
        <x:v>Hwang et al. (2004)</x:v>
      </x:c>
      <x:c r="E277" s="43" t="str">
        <x:v>WF-12</x:v>
      </x:c>
      <x:c r="F277" s="45" t="n">
        <x:v>2</x:v>
      </x:c>
      <x:c r="G277" s="44" t="str">
        <x:v>Shear</x:v>
      </x:c>
      <x:c r="H277" s="46" t="n">
        <x:v>0.5142857142857142</x:v>
      </x:c>
      <x:c r="I277" s="46" t="n">
        <x:v>29.166666666666668</x:v>
      </x:c>
      <x:c r="J277" s="46" t="n">
        <x:v>0.04975539568345323</x:v>
      </x:c>
      <x:c r="K277" s="46" t="n">
        <x:v>0.04975539568345323</x:v>
      </x:c>
      <x:c r="L277" s="46" t="n">
        <x:v>0.7805035971223021</x:v>
      </x:c>
      <x:c r="M277" s="46" t="n">
        <x:v>0.42161151079136694</x:v>
      </x:c>
      <x:c r="N277" s="46" t="n">
        <x:v>0</x:v>
      </x:c>
      <x:c r="O277" s="48" t="str">
        <x:v>B</x:v>
      </x:c>
      <x:c r="P277" s="46" t="n">
        <x:v>0.25</x:v>
      </x:c>
      <x:c r="Q277" s="45" t="n">
        <x:v>1</x:v>
      </x:c>
    </x:row>
    <x:row r="278">
      <x:c r="A278" s="45" t="n">
        <x:v>277</x:v>
      </x:c>
      <x:c r="B278" s="45" t="n">
        <x:v>343</x:v>
      </x:c>
      <x:c r="C278" s="45" t="n">
        <x:v>0</x:v>
      </x:c>
      <x:c r="D278" s="43" t="str">
        <x:v>Hwang et al. (2004)</x:v>
      </x:c>
      <x:c r="E278" s="43" t="str">
        <x:v>WF-15</x:v>
      </x:c>
      <x:c r="F278" s="45" t="n">
        <x:v>4</x:v>
      </x:c>
      <x:c r="G278" s="44" t="str">
        <x:v>Sliding</x:v>
      </x:c>
      <x:c r="H278" s="46" t="n">
        <x:v>0.5142857142857142</x:v>
      </x:c>
      <x:c r="I278" s="46" t="n">
        <x:v>23.333333333333332</x:v>
      </x:c>
      <x:c r="J278" s="46" t="n">
        <x:v>0.08232743362831857</x:v>
      </x:c>
      <x:c r="K278" s="46" t="n">
        <x:v>0.08232743362831857</x:v>
      </x:c>
      <x:c r="L278" s="46" t="n">
        <x:v>0.4800442477876106</x:v>
      </x:c>
      <x:c r="M278" s="46" t="n">
        <x:v>0.31558849557522123</x:v>
      </x:c>
      <x:c r="N278" s="46" t="n">
        <x:v>0</x:v>
      </x:c>
      <x:c r="O278" s="48" t="str">
        <x:v>B</x:v>
      </x:c>
      <x:c r="P278" s="46" t="n">
        <x:v>0.2222222222222222</x:v>
      </x:c>
      <x:c r="Q278" s="45" t="n">
        <x:v>1</x:v>
      </x:c>
    </x:row>
    <x:row r="279">
      <x:c r="A279" s="45" t="n">
        <x:v>278</x:v>
      </x:c>
      <x:c r="B279" s="45" t="n">
        <x:v>344</x:v>
      </x:c>
      <x:c r="C279" s="45" t="n">
        <x:v>0</x:v>
      </x:c>
      <x:c r="D279" s="43" t="str">
        <x:v>Kabeyasawa and Matsumoto (1992)</x:v>
      </x:c>
      <x:c r="E279" s="43" t="str">
        <x:v>NW-1</x:v>
      </x:c>
      <x:c r="F279" s="45" t="n">
        <x:v>2</x:v>
      </x:c>
      <x:c r="G279" s="44" t="str">
        <x:v>Shear</x:v>
      </x:c>
      <x:c r="H279" s="46" t="n">
        <x:v>1.7647058823529411</x:v>
      </x:c>
      <x:c r="I279" s="46" t="n">
        <x:v>21.25</x:v>
      </x:c>
      <x:c r="J279" s="46" t="n">
        <x:v>0.05370662100456621</x:v>
      </x:c>
      <x:c r="K279" s="46" t="n">
        <x:v>0.2549931506849315</x:v>
      </x:c>
      <x:c r="L279" s="46" t="n">
        <x:v>0.20905936073059364</x:v>
      </x:c>
      <x:c r="M279" s="46" t="n">
        <x:v>0.2031301369863014</x:v>
      </x:c>
      <x:c r="N279" s="46" t="n">
        <x:v>0.10944014294222752</x:v>
      </x:c>
      <x:c r="O279" s="48" t="str">
        <x:v>B</x:v>
      </x:c>
      <x:c r="P279" s="46" t="n">
        <x:v>0.21739130434782608</x:v>
      </x:c>
      <x:c r="Q279" s="45" t="n">
        <x:v>1</x:v>
      </x:c>
    </x:row>
    <x:row r="280">
      <x:c r="A280" s="45" t="n">
        <x:v>279</x:v>
      </x:c>
      <x:c r="B280" s="45" t="n">
        <x:v>345</x:v>
      </x:c>
      <x:c r="C280" s="45" t="n">
        <x:v>0</x:v>
      </x:c>
      <x:c r="D280" s="43" t="str">
        <x:v>Kabeyasawa and Matsumoto (1992)</x:v>
      </x:c>
      <x:c r="E280" s="43" t="str">
        <x:v>NW-2</x:v>
      </x:c>
      <x:c r="F280" s="45" t="n">
        <x:v>2</x:v>
      </x:c>
      <x:c r="G280" s="44" t="str">
        <x:v>Shear</x:v>
      </x:c>
      <x:c r="H280" s="46" t="n">
        <x:v>1.1764705882352942</x:v>
      </x:c>
      <x:c r="I280" s="46" t="n">
        <x:v>21.25</x:v>
      </x:c>
      <x:c r="J280" s="46" t="n">
        <x:v>0.05026388888888889</x:v>
      </x:c>
      <x:c r="K280" s="46" t="n">
        <x:v>0.2386474358974359</x:v>
      </x:c>
      <x:c r="L280" s="46" t="n">
        <x:v>0.1956581196581197</x:v>
      </x:c>
      <x:c r="M280" s="46" t="n">
        <x:v>0.19010897435897436</x:v>
      </x:c>
      <x:c r="N280" s="46" t="n">
        <x:v>0.1024247491638796</x:v>
      </x:c>
      <x:c r="O280" s="48" t="str">
        <x:v>B</x:v>
      </x:c>
      <x:c r="P280" s="46" t="n">
        <x:v>0.21739130434782608</x:v>
      </x:c>
      <x:c r="Q280" s="45" t="n">
        <x:v>1</x:v>
      </x:c>
    </x:row>
    <x:row r="281">
      <x:c r="A281" s="45" t="n">
        <x:v>280</x:v>
      </x:c>
      <x:c r="B281" s="45" t="n">
        <x:v>346</x:v>
      </x:c>
      <x:c r="C281" s="45" t="n">
        <x:v>0</x:v>
      </x:c>
      <x:c r="D281" s="43" t="str">
        <x:v>Kabeyasawa and Matsumoto (1992)</x:v>
      </x:c>
      <x:c r="E281" s="43" t="str">
        <x:v>NW-3</x:v>
      </x:c>
      <x:c r="F281" s="45" t="n">
        <x:v>2</x:v>
      </x:c>
      <x:c r="G281" s="44" t="str">
        <x:v>Shear</x:v>
      </x:c>
      <x:c r="H281" s="46" t="n">
        <x:v>1.7647058823529411</x:v>
      </x:c>
      <x:c r="I281" s="46" t="n">
        <x:v>21.25</x:v>
      </x:c>
      <x:c r="J281" s="46" t="n">
        <x:v>0.03256216216216216</x:v>
      </x:c>
      <x:c r="K281" s="46" t="n">
        <x:v>0.27325945945945945</x:v>
      </x:c>
      <x:c r="L281" s="46" t="n">
        <x:v>0.30318558558558556</x:v>
      </x:c>
      <x:c r="M281" s="46" t="n">
        <x:v>0.2177189189189189</x:v>
      </x:c>
      <x:c r="N281" s="46" t="n">
        <x:v>0.13435174304739522</x:v>
      </x:c>
      <x:c r="O281" s="48" t="str">
        <x:v>B</x:v>
      </x:c>
      <x:c r="P281" s="46" t="n">
        <x:v>0.21739130434782608</x:v>
      </x:c>
      <x:c r="Q281" s="45" t="n">
        <x:v>1</x:v>
      </x:c>
    </x:row>
    <x:row r="282">
      <x:c r="A282" s="45" t="n">
        <x:v>281</x:v>
      </x:c>
      <x:c r="B282" s="45" t="n">
        <x:v>347</x:v>
      </x:c>
      <x:c r="C282" s="45" t="n">
        <x:v>0</x:v>
      </x:c>
      <x:c r="D282" s="43" t="str">
        <x:v>Kabeyasawa and Matsumoto (1992)</x:v>
      </x:c>
      <x:c r="E282" s="43" t="str">
        <x:v>NW-4</x:v>
      </x:c>
      <x:c r="F282" s="45" t="n">
        <x:v>2</x:v>
      </x:c>
      <x:c r="G282" s="44" t="str">
        <x:v>Shear</x:v>
      </x:c>
      <x:c r="H282" s="46" t="n">
        <x:v>1.7647058823529411</x:v>
      </x:c>
      <x:c r="I282" s="46" t="n">
        <x:v>21.25</x:v>
      </x:c>
      <x:c r="J282" s="46" t="n">
        <x:v>0.033098901098901096</x:v>
      </x:c>
      <x:c r="K282" s="46" t="n">
        <x:v>0.2777637362637363</x:v>
      </x:c>
      <x:c r="L282" s="46" t="n">
        <x:v>0.410040293040293</x:v>
      </x:c>
      <x:c r="M282" s="46" t="n">
        <x:v>0.2213076923076923</x:v>
      </x:c>
      <x:c r="N282" s="46" t="n">
        <x:v>0.1560758082497213</x:v>
      </x:c>
      <x:c r="O282" s="48" t="str">
        <x:v>B</x:v>
      </x:c>
      <x:c r="P282" s="46" t="n">
        <x:v>0.21739130434782608</x:v>
      </x:c>
      <x:c r="Q282" s="45" t="n">
        <x:v>1</x:v>
      </x:c>
    </x:row>
    <x:row r="283">
      <x:c r="A283" s="45" t="n">
        <x:v>282</x:v>
      </x:c>
      <x:c r="B283" s="45" t="n">
        <x:v>348</x:v>
      </x:c>
      <x:c r="C283" s="45" t="n">
        <x:v>1</x:v>
      </x:c>
      <x:c r="D283" s="43" t="str">
        <x:v>Kabeyasawa and Matsumoto (1992)</x:v>
      </x:c>
      <x:c r="E283" s="43" t="str">
        <x:v>NW-5</x:v>
      </x:c>
      <x:c r="F283" s="45" t="n">
        <x:v>2</x:v>
      </x:c>
      <x:c r="G283" s="44" t="str">
        <x:v>Shear</x:v>
      </x:c>
      <x:c r="H283" s="46" t="n">
        <x:v>1.7647058823529411</x:v>
      </x:c>
      <x:c r="I283" s="46" t="n">
        <x:v>21.25</x:v>
      </x:c>
      <x:c r="J283" s="46" t="n">
        <x:v>0.058691542288557226</x:v>
      </x:c>
      <x:c r="K283" s="46" t="n">
        <x:v>0.2515074626865672</x:v>
      </x:c>
      <x:c r="L283" s="46" t="n">
        <x:v>0.37128026533996683</x:v>
      </x:c>
      <x:c r="M283" s="46" t="n">
        <x:v>0.20038805970149254</x:v>
      </x:c>
      <x:c r="N283" s="46" t="n">
        <x:v>0.12365707693416973</x:v>
      </x:c>
      <x:c r="O283" s="48" t="str">
        <x:v>B</x:v>
      </x:c>
      <x:c r="P283" s="46" t="n">
        <x:v>0.21739130434782608</x:v>
      </x:c>
      <x:c r="Q283" s="45" t="n">
        <x:v>1</x:v>
      </x:c>
    </x:row>
    <x:row r="284">
      <x:c r="A284" s="45" t="n">
        <x:v>283</x:v>
      </x:c>
      <x:c r="B284" s="45" t="n">
        <x:v>349</x:v>
      </x:c>
      <x:c r="C284" s="45" t="n">
        <x:v>0</x:v>
      </x:c>
      <x:c r="D284" s="43" t="str">
        <x:v>Kabeyasawa and Matsumoto (1992)</x:v>
      </x:c>
      <x:c r="E284" s="43" t="str">
        <x:v>NW-6</x:v>
      </x:c>
      <x:c r="F284" s="45" t="n">
        <x:v>2</x:v>
      </x:c>
      <x:c r="G284" s="44" t="str">
        <x:v>Shear</x:v>
      </x:c>
      <x:c r="H284" s="46" t="n">
        <x:v>1.7647058823529411</x:v>
      </x:c>
      <x:c r="I284" s="46" t="n">
        <x:v>21.25</x:v>
      </x:c>
      <x:c r="J284" s="46" t="n">
        <x:v>0.05428067484662577</x:v>
      </x:c>
      <x:c r="K284" s="46" t="n">
        <x:v>0.2326058282208589</x:v>
      </x:c>
      <x:c r="L284" s="46" t="n">
        <x:v>0.4431717791411043</x:v>
      </x:c>
      <x:c r="M284" s="46" t="n">
        <x:v>0.1853282208588957</x:v>
      </x:c>
      <x:c r="N284" s="46" t="n">
        <x:v>0.13070152040544145</x:v>
      </x:c>
      <x:c r="O284" s="48" t="str">
        <x:v>B</x:v>
      </x:c>
      <x:c r="P284" s="46" t="n">
        <x:v>0.21739130434782608</x:v>
      </x:c>
      <x:c r="Q284" s="45" t="n">
        <x:v>1</x:v>
      </x:c>
    </x:row>
    <x:row r="285">
      <x:c r="A285" s="45" t="n">
        <x:v>284</x:v>
      </x:c>
      <x:c r="B285" s="45" t="n">
        <x:v>350</x:v>
      </x:c>
      <x:c r="C285" s="45" t="n">
        <x:v>0</x:v>
      </x:c>
      <x:c r="D285" s="43" t="str">
        <x:v>Kimura and Sugano (1996)</x:v>
      </x:c>
      <x:c r="E285" s="43" t="str">
        <x:v>W8N18</x:v>
      </x:c>
      <x:c r="F285" s="45" t="n">
        <x:v>2</x:v>
      </x:c>
      <x:c r="G285" s="44" t="str">
        <x:v>Shear</x:v>
      </x:c>
      <x:c r="H285" s="46" t="n">
        <x:v>1.7142857142857142</x:v>
      </x:c>
      <x:c r="I285" s="46" t="n">
        <x:v>17.5</x:v>
      </x:c>
      <x:c r="J285" s="46" t="n">
        <x:v>0.1380989010989011</x:v>
      </x:c>
      <x:c r="K285" s="46" t="n">
        <x:v>0.13761263736263737</x:v>
      </x:c>
      <x:c r="L285" s="46" t="n">
        <x:v>0.188021978021978</x:v>
      </x:c>
      <x:c r="M285" s="46" t="n">
        <x:v>0.1317815934065934</x:v>
      </x:c>
      <x:c r="N285" s="46" t="n">
        <x:v>0.15152815934065933</x:v>
      </x:c>
      <x:c r="O285" s="48" t="str">
        <x:v>B</x:v>
      </x:c>
      <x:c r="P285" s="46" t="n">
        <x:v>0.25</x:v>
      </x:c>
      <x:c r="Q285" s="45" t="n">
        <x:v>1</x:v>
      </x:c>
    </x:row>
    <x:row r="286">
      <x:c r="A286" s="45" t="n">
        <x:v>285</x:v>
      </x:c>
      <x:c r="B286" s="45" t="n">
        <x:v>351</x:v>
      </x:c>
      <x:c r="C286" s="45" t="n">
        <x:v>1</x:v>
      </x:c>
      <x:c r="D286" s="43" t="str">
        <x:v>Kimura and Sugano (1996)</x:v>
      </x:c>
      <x:c r="E286" s="43" t="str">
        <x:v>W8N13</x:v>
      </x:c>
      <x:c r="F286" s="45" t="n">
        <x:v>2</x:v>
      </x:c>
      <x:c r="G286" s="44" t="str">
        <x:v>Shear</x:v>
      </x:c>
      <x:c r="H286" s="46" t="n">
        <x:v>1.7142857142857142</x:v>
      </x:c>
      <x:c r="I286" s="46" t="n">
        <x:v>17.5</x:v>
      </x:c>
      <x:c r="J286" s="46" t="n">
        <x:v>0.12726075949367088</x:v>
      </x:c>
      <x:c r="K286" s="46" t="n">
        <x:v>0.1268126582278481</x:v>
      </x:c>
      <x:c r="L286" s="46" t="n">
        <x:v>0.17326582278481012</x:v>
      </x:c>
      <x:c r="M286" s="46" t="n">
        <x:v>0.12143924050632912</x:v>
      </x:c>
      <x:c r="N286" s="46" t="n">
        <x:v>0.10087025316455696</x:v>
      </x:c>
      <x:c r="O286" s="48" t="str">
        <x:v>B</x:v>
      </x:c>
      <x:c r="P286" s="46" t="n">
        <x:v>0.25</x:v>
      </x:c>
      <x:c r="Q286" s="45" t="n">
        <x:v>1</x:v>
      </x:c>
    </x:row>
    <x:row r="287">
      <x:c r="A287" s="45" t="n">
        <x:v>286</x:v>
      </x:c>
      <x:c r="B287" s="45" t="n">
        <x:v>352</x:v>
      </x:c>
      <x:c r="C287" s="45" t="n">
        <x:v>0</x:v>
      </x:c>
      <x:c r="D287" s="43" t="str">
        <x:v>Kimura and Sugano (1996)</x:v>
      </x:c>
      <x:c r="E287" s="43" t="str">
        <x:v>W8N08H</x:v>
      </x:c>
      <x:c r="F287" s="45" t="n">
        <x:v>2</x:v>
      </x:c>
      <x:c r="G287" s="44" t="str">
        <x:v>Shear</x:v>
      </x:c>
      <x:c r="H287" s="46" t="n">
        <x:v>1.7142857142857142</x:v>
      </x:c>
      <x:c r="I287" s="46" t="n">
        <x:v>17.5</x:v>
      </x:c>
      <x:c r="J287" s="46" t="n">
        <x:v>0.1266196473551637</x:v>
      </x:c>
      <x:c r="K287" s="46" t="n">
        <x:v>0.12617380352644836</x:v>
      </x:c>
      <x:c r="L287" s="46" t="n">
        <x:v>0.17239294710327452</x:v>
      </x:c>
      <x:c r="M287" s="46" t="n">
        <x:v>0.12082745591939546</x:v>
      </x:c>
      <x:c r="N287" s="46" t="n">
        <x:v>0.06179156171284634</x:v>
      </x:c>
      <x:c r="O287" s="48" t="str">
        <x:v>B</x:v>
      </x:c>
      <x:c r="P287" s="46" t="n">
        <x:v>0.25</x:v>
      </x:c>
      <x:c r="Q287" s="45" t="n">
        <x:v>1</x:v>
      </x:c>
    </x:row>
    <x:row r="288">
      <x:c r="A288" s="45" t="n">
        <x:v>287</x:v>
      </x:c>
      <x:c r="B288" s="45" t="n">
        <x:v>353</x:v>
      </x:c>
      <x:c r="C288" s="45" t="n">
        <x:v>0</x:v>
      </x:c>
      <x:c r="D288" s="43" t="str">
        <x:v>Kimura and Sugano (1996)</x:v>
      </x:c>
      <x:c r="E288" s="43" t="str">
        <x:v>W4N18</x:v>
      </x:c>
      <x:c r="F288" s="45" t="n">
        <x:v>2</x:v>
      </x:c>
      <x:c r="G288" s="44" t="str">
        <x:v>Shear</x:v>
      </x:c>
      <x:c r="H288" s="46" t="n">
        <x:v>1.7142857142857142</x:v>
      </x:c>
      <x:c r="I288" s="46" t="n">
        <x:v>17.5</x:v>
      </x:c>
      <x:c r="J288" s="46" t="n">
        <x:v>0.23326218097447793</x:v>
      </x:c>
      <x:c r="K288" s="46" t="n">
        <x:v>0.23244083526682136</x:v>
      </x:c>
      <x:c r="L288" s="46" t="n">
        <x:v>0.3175870069605568</x:v>
      </x:c>
      <x:c r="M288" s="46" t="n">
        <x:v>0.22259164733178655</x:v>
      </x:c>
      <x:c r="N288" s="46" t="n">
        <x:v>0.25594547563805103</x:v>
      </x:c>
      <x:c r="O288" s="48" t="str">
        <x:v>B</x:v>
      </x:c>
      <x:c r="P288" s="46" t="n">
        <x:v>0.25</x:v>
      </x:c>
      <x:c r="Q288" s="45" t="n">
        <x:v>1</x:v>
      </x:c>
    </x:row>
    <x:row r="289">
      <x:c r="A289" s="45" t="n">
        <x:v>288</x:v>
      </x:c>
      <x:c r="B289" s="45" t="n">
        <x:v>354</x:v>
      </x:c>
      <x:c r="C289" s="45" t="n">
        <x:v>1</x:v>
      </x:c>
      <x:c r="D289" s="43" t="str">
        <x:v>Kimura and Sugano (1996)</x:v>
      </x:c>
      <x:c r="E289" s="43" t="str">
        <x:v>W4N18C</x:v>
      </x:c>
      <x:c r="F289" s="45" t="n">
        <x:v>2</x:v>
      </x:c>
      <x:c r="G289" s="44" t="str">
        <x:v>Shear</x:v>
      </x:c>
      <x:c r="H289" s="46" t="n">
        <x:v>1.7142857142857142</x:v>
      </x:c>
      <x:c r="I289" s="46" t="n">
        <x:v>17.5</x:v>
      </x:c>
      <x:c r="J289" s="46" t="n">
        <x:v>0.23655529411764706</x:v>
      </x:c>
      <x:c r="K289" s="46" t="n">
        <x:v>0.23572235294117647</x:v>
      </x:c>
      <x:c r="L289" s="46" t="n">
        <x:v>0.3220705882352941</x:v>
      </x:c>
      <x:c r="M289" s="46" t="n">
        <x:v>0.3236188235294118</x:v>
      </x:c>
      <x:c r="N289" s="46" t="n">
        <x:v>0.25955882352941173</x:v>
      </x:c>
      <x:c r="O289" s="48" t="str">
        <x:v>B</x:v>
      </x:c>
      <x:c r="P289" s="46" t="n">
        <x:v>0.25</x:v>
      </x:c>
      <x:c r="Q289" s="45" t="n">
        <x:v>1</x:v>
      </x:c>
    </x:row>
    <x:row r="290">
      <x:c r="A290" s="45" t="n">
        <x:v>289</x:v>
      </x:c>
      <x:c r="B290" s="45" t="n">
        <x:v>355</x:v>
      </x:c>
      <x:c r="C290" s="45" t="n">
        <x:v>0</x:v>
      </x:c>
      <x:c r="D290" s="43" t="str">
        <x:v>Lombard et al.(2000)</x:v>
      </x:c>
      <x:c r="E290" s="43" t="n">
        <x:v>1</x:v>
      </x:c>
      <x:c r="F290" s="45" t="n">
        <x:v>1</x:v>
      </x:c>
      <x:c r="G290" s="44" t="str">
        <x:v>Flexural</x:v>
      </x:c>
      <x:c r="H290" s="46" t="n">
        <x:v>1.3333333333333333</x:v>
      </x:c>
      <x:c r="I290" s="46" t="n">
        <x:v>15</x:v>
      </x:c>
      <x:c r="J290" s="46" t="n">
        <x:v>0.08</x:v>
      </x:c>
      <x:c r="K290" s="46" t="n">
        <x:v>0.05</x:v>
      </x:c>
      <x:c r="L290" s="46" t="n">
        <x:v>0.08</x:v>
      </x:c>
      <x:c r="M290" s="46" t="n">
        <x:v>0.05</x:v>
      </x:c>
      <x:c r="N290" s="46" t="n">
        <x:v>0</x:v>
      </x:c>
      <x:c r="O290" s="48" t="str">
        <x:v>R</x:v>
      </x:c>
      <x:c r="P290" s="46" t="n">
        <x:v>0</x:v>
      </x:c>
      <x:c r="Q290" s="45" t="n">
        <x:v>1</x:v>
      </x:c>
    </x:row>
    <x:row r="291">
      <x:c r="A291" s="45" t="n">
        <x:v>290</x:v>
      </x:c>
      <x:c r="B291" s="45" t="n">
        <x:v>356</x:v>
      </x:c>
      <x:c r="C291" s="45" t="n">
        <x:v>0</x:v>
      </x:c>
      <x:c r="D291" s="43" t="str">
        <x:v>Lopes et al. (2001)</x:v>
      </x:c>
      <x:c r="E291" s="43" t="str">
        <x:v>SW13</x:v>
      </x:c>
      <x:c r="F291" s="45" t="n">
        <x:v>2</x:v>
      </x:c>
      <x:c r="G291" s="44" t="str">
        <x:v>Shear</x:v>
      </x:c>
      <x:c r="H291" s="46" t="n">
        <x:v>1.1</x:v>
      </x:c>
      <x:c r="I291" s="46" t="n">
        <x:v>10</x:v>
      </x:c>
      <x:c r="J291" s="46" t="n">
        <x:v>0.027098181818181816</x:v>
      </x:c>
      <x:c r="K291" s="46" t="n">
        <x:v>0.035378181818181816</x:v>
      </x:c>
      <x:c r="L291" s="46" t="n">
        <x:v>0.5374690909090909</x:v>
      </x:c>
      <x:c r="M291" s="46" t="n">
        <x:v>0.1400072727272727</x:v>
      </x:c>
      <x:c r="N291" s="46" t="n">
        <x:v>0</x:v>
      </x:c>
      <x:c r="O291" s="48" t="str">
        <x:v>R</x:v>
      </x:c>
      <x:c r="P291" s="46" t="n">
        <x:v>0</x:v>
      </x:c>
      <x:c r="Q291" s="45" t="n">
        <x:v>1</x:v>
      </x:c>
    </x:row>
    <x:row r="292">
      <x:c r="A292" s="45" t="n">
        <x:v>291</x:v>
      </x:c>
      <x:c r="B292" s="45" t="n">
        <x:v>357</x:v>
      </x:c>
      <x:c r="C292" s="45" t="n">
        <x:v>0</x:v>
      </x:c>
      <x:c r="D292" s="43" t="str">
        <x:v>Massone et al. (2009)</x:v>
      </x:c>
      <x:c r="E292" s="43" t="str">
        <x:v>WS-T1-S1</x:v>
      </x:c>
      <x:c r="F292" s="45" t="n">
        <x:v>3</x:v>
      </x:c>
      <x:c r="G292" s="44" t="str">
        <x:v>Flex-Shear</x:v>
      </x:c>
      <x:c r="H292" s="46" t="n">
        <x:v>1</x:v>
      </x:c>
      <x:c r="I292" s="46" t="n">
        <x:v>10</x:v>
      </x:c>
      <x:c r="J292" s="46" t="n">
        <x:v>0.07149803921568627</x:v>
      </x:c>
      <x:c r="K292" s="46" t="n">
        <x:v>0.04655686274509804</x:v>
      </x:c>
      <x:c r="L292" s="46" t="n">
        <x:v>0.5483858823529412</x:v>
      </x:c>
      <x:c r="M292" s="46" t="n">
        <x:v>0</x:v>
      </x:c>
      <x:c r="N292" s="46" t="n">
        <x:v>0</x:v>
      </x:c>
      <x:c r="O292" s="48" t="str">
        <x:v>R</x:v>
      </x:c>
      <x:c r="P292" s="46" t="n">
        <x:v>0</x:v>
      </x:c>
      <x:c r="Q292" s="45" t="n">
        <x:v>1</x:v>
      </x:c>
    </x:row>
    <x:row r="293">
      <x:c r="A293" s="45" t="n">
        <x:v>292</x:v>
      </x:c>
      <x:c r="B293" s="45" t="n">
        <x:v>358</x:v>
      </x:c>
      <x:c r="C293" s="45" t="n">
        <x:v>0</x:v>
      </x:c>
      <x:c r="D293" s="43" t="str">
        <x:v>Massone et al. (2009)</x:v>
      </x:c>
      <x:c r="E293" s="43" t="str">
        <x:v>WS-T4-S2</x:v>
      </x:c>
      <x:c r="F293" s="45" t="n">
        <x:v>4</x:v>
      </x:c>
      <x:c r="G293" s="44" t="str">
        <x:v>Sliding</x:v>
      </x:c>
      <x:c r="H293" s="46" t="n">
        <x:v>1</x:v>
      </x:c>
      <x:c r="I293" s="46" t="n">
        <x:v>10</x:v>
      </x:c>
      <x:c r="J293" s="46" t="n">
        <x:v>0.02770181818181818</x:v>
      </x:c>
      <x:c r="K293" s="46" t="n">
        <x:v>0.029832727272727275</x:v>
      </x:c>
      <x:c r="L293" s="46" t="n">
        <x:v>0.14170545454545455</x:v>
      </x:c>
      <x:c r="M293" s="46" t="n">
        <x:v>0</x:v>
      </x:c>
      <x:c r="N293" s="46" t="n">
        <x:v>0</x:v>
      </x:c>
      <x:c r="O293" s="48" t="str">
        <x:v>R</x:v>
      </x:c>
      <x:c r="P293" s="46" t="n">
        <x:v>0</x:v>
      </x:c>
      <x:c r="Q293" s="45" t="n">
        <x:v>1</x:v>
      </x:c>
    </x:row>
    <x:row r="294">
      <x:c r="A294" s="45" t="n">
        <x:v>293</x:v>
      </x:c>
      <x:c r="B294" s="45" t="n">
        <x:v>359</x:v>
      </x:c>
      <x:c r="C294" s="45" t="n">
        <x:v>0</x:v>
      </x:c>
      <x:c r="D294" s="43" t="str">
        <x:v>Massone et al. (2009)</x:v>
      </x:c>
      <x:c r="E294" s="43" t="str">
        <x:v>WP-T5-N10-S2</x:v>
      </x:c>
      <x:c r="F294" s="45" t="n">
        <x:v>2</x:v>
      </x:c>
      <x:c r="G294" s="44" t="str">
        <x:v>Shear</x:v>
      </x:c>
      <x:c r="H294" s="46" t="n">
        <x:v>0.8905109489051095</x:v>
      </x:c>
      <x:c r="I294" s="46" t="n">
        <x:v>9.013157894736842</x:v>
      </x:c>
      <x:c r="J294" s="46" t="n">
        <x:v>0.03105732484076433</x:v>
      </x:c>
      <x:c r="K294" s="46" t="n">
        <x:v>0.03780891719745223</x:v>
      </x:c>
      <x:c r="L294" s="46" t="n">
        <x:v>0.17959235668789808</x:v>
      </x:c>
      <x:c r="M294" s="46" t="n">
        <x:v>0</x:v>
      </x:c>
      <x:c r="N294" s="46" t="n">
        <x:v>0.0001013327754273405</x:v>
      </x:c>
      <x:c r="O294" s="48" t="str">
        <x:v>R</x:v>
      </x:c>
      <x:c r="P294" s="46" t="n">
        <x:v>0</x:v>
      </x:c>
      <x:c r="Q294" s="45" t="n">
        <x:v>1</x:v>
      </x:c>
    </x:row>
    <x:row r="295">
      <x:c r="A295" s="45" t="n">
        <x:v>294</x:v>
      </x:c>
      <x:c r="B295" s="45" t="n">
        <x:v>360</x:v>
      </x:c>
      <x:c r="C295" s="45" t="n">
        <x:v>0</x:v>
      </x:c>
      <x:c r="D295" s="43" t="str">
        <x:v>Nakamura et al. (2009)</x:v>
      </x:c>
      <x:c r="E295" s="43" t="str">
        <x:v>I-1</x:v>
      </x:c>
      <x:c r="F295" s="45" t="n">
        <x:v>4</x:v>
      </x:c>
      <x:c r="G295" s="44" t="str">
        <x:v>Sliding</x:v>
      </x:c>
      <x:c r="H295" s="46" t="n">
        <x:v>0.7441860465116279</x:v>
      </x:c>
      <x:c r="I295" s="46" t="n">
        <x:v>14.333333333333334</x:v>
      </x:c>
      <x:c r="J295" s="46" t="n">
        <x:v>0.08736895674300255</x:v>
      </x:c>
      <x:c r="K295" s="46" t="n">
        <x:v>0.08736895674300255</x:v>
      </x:c>
      <x:c r="L295" s="46" t="n">
        <x:v>0.08736895674300255</x:v>
      </x:c>
      <x:c r="M295" s="46" t="n">
        <x:v>0.08736895674300255</x:v>
      </x:c>
      <x:c r="N295" s="46" t="n">
        <x:v>0.0498874458874459</x:v>
      </x:c>
      <x:c r="O295" s="48" t="str">
        <x:v>F</x:v>
      </x:c>
      <x:c r="P295" s="46" t="n">
        <x:v>0.2597402597402597</x:v>
      </x:c>
      <x:c r="Q295" s="45" t="n">
        <x:v>1</x:v>
      </x:c>
    </x:row>
    <x:row r="296">
      <x:c r="A296" s="45" t="n">
        <x:v>295</x:v>
      </x:c>
      <x:c r="B296" s="45" t="n">
        <x:v>361</x:v>
      </x:c>
      <x:c r="C296" s="45" t="n">
        <x:v>0</x:v>
      </x:c>
      <x:c r="D296" s="43" t="str">
        <x:v>Nakamura et al. (2009)</x:v>
      </x:c>
      <x:c r="E296" s="43" t="str">
        <x:v>I-2</x:v>
      </x:c>
      <x:c r="F296" s="45" t="n">
        <x:v>4</x:v>
      </x:c>
      <x:c r="G296" s="44" t="str">
        <x:v>Sliding</x:v>
      </x:c>
      <x:c r="H296" s="46" t="n">
        <x:v>0.7441860465116279</x:v>
      </x:c>
      <x:c r="I296" s="46" t="n">
        <x:v>14.333333333333334</x:v>
      </x:c>
      <x:c r="J296" s="46" t="n">
        <x:v>0.11046889952153109</x:v>
      </x:c>
      <x:c r="K296" s="46" t="n">
        <x:v>0.11046889952153109</x:v>
      </x:c>
      <x:c r="L296" s="46" t="n">
        <x:v>0.11046889952153109</x:v>
      </x:c>
      <x:c r="M296" s="46" t="n">
        <x:v>0.11046889952153109</x:v>
      </x:c>
      <x:c r="N296" s="46" t="n">
        <x:v>0.04653679653679654</x:v>
      </x:c>
      <x:c r="O296" s="48" t="str">
        <x:v>F</x:v>
      </x:c>
      <x:c r="P296" s="46" t="n">
        <x:v>0.2597402597402597</x:v>
      </x:c>
      <x:c r="Q296" s="45" t="n">
        <x:v>1</x:v>
      </x:c>
    </x:row>
    <x:row r="297">
      <x:c r="A297" s="45" t="n">
        <x:v>296</x:v>
      </x:c>
      <x:c r="B297" s="45" t="n">
        <x:v>362</x:v>
      </x:c>
      <x:c r="C297" s="45" t="n">
        <x:v>0</x:v>
      </x:c>
      <x:c r="D297" s="43" t="str">
        <x:v>Oh et al. (2006)</x:v>
      </x:c>
      <x:c r="E297" s="43" t="str">
        <x:v>HRI-W2</x:v>
      </x:c>
      <x:c r="F297" s="45" t="n">
        <x:v>1</x:v>
      </x:c>
      <x:c r="G297" s="44" t="str">
        <x:v>Flexural</x:v>
      </x:c>
      <x:c r="H297" s="46" t="n">
        <x:v>1.5</x:v>
      </x:c>
      <x:c r="I297" s="46" t="n">
        <x:v>7.5</x:v>
      </x:c>
      <x:c r="J297" s="46" t="n">
        <x:v>0.032</x:v>
      </x:c>
      <x:c r="K297" s="46" t="n">
        <x:v>0.027999999999999997</x:v>
      </x:c>
      <x:c r="L297" s="46" t="n">
        <x:v>0.16673391812865496</x:v>
      </x:c>
      <x:c r="M297" s="46" t="n">
        <x:v>0.09899999999999999</x:v>
      </x:c>
      <x:c r="N297" s="46" t="n">
        <x:v>0.08070175438596491</x:v>
      </x:c>
      <x:c r="O297" s="48" t="str">
        <x:v>R</x:v>
      </x:c>
      <x:c r="P297" s="46" t="n">
        <x:v>0</x:v>
      </x:c>
      <x:c r="Q297" s="45" t="n">
        <x:v>1</x:v>
      </x:c>
    </x:row>
    <x:row r="298">
      <x:c r="A298" s="45" t="n">
        <x:v>297</x:v>
      </x:c>
      <x:c r="B298" s="45" t="n">
        <x:v>363</x:v>
      </x:c>
      <x:c r="C298" s="45" t="n">
        <x:v>0</x:v>
      </x:c>
      <x:c r="D298" s="43" t="str">
        <x:v>Oh et al. (2006)</x:v>
      </x:c>
      <x:c r="E298" s="43" t="str">
        <x:v>HRI-W5</x:v>
      </x:c>
      <x:c r="F298" s="45" t="n">
        <x:v>1</x:v>
      </x:c>
      <x:c r="G298" s="44" t="str">
        <x:v>Flexural</x:v>
      </x:c>
      <x:c r="H298" s="46" t="n">
        <x:v>1.5</x:v>
      </x:c>
      <x:c r="I298" s="46" t="n">
        <x:v>7.5</x:v>
      </x:c>
      <x:c r="J298" s="46" t="n">
        <x:v>0.030232044198895025</x:v>
      </x:c>
      <x:c r="K298" s="46" t="n">
        <x:v>0.026453038674033147</x:v>
      </x:c>
      <x:c r="L298" s="46" t="n">
        <x:v>0.1575220994475138</x:v>
      </x:c>
      <x:c r="M298" s="46" t="n">
        <x:v>0.18611602209944747</x:v>
      </x:c>
      <x:c r="N298" s="46" t="n">
        <x:v>0.07624309392265194</x:v>
      </x:c>
      <x:c r="O298" s="48" t="str">
        <x:v>R</x:v>
      </x:c>
      <x:c r="P298" s="46" t="n">
        <x:v>0</x:v>
      </x:c>
      <x:c r="Q298" s="45" t="n">
        <x:v>1</x:v>
      </x:c>
    </x:row>
    <x:row r="299">
      <x:c r="A299" s="45" t="n">
        <x:v>298</x:v>
      </x:c>
      <x:c r="B299" s="45" t="n">
        <x:v>364</x:v>
      </x:c>
      <x:c r="C299" s="45" t="n">
        <x:v>0</x:v>
      </x:c>
      <x:c r="D299" s="43" t="str">
        <x:v>Oh et al. (2006)</x:v>
      </x:c>
      <x:c r="E299" s="43" t="str">
        <x:v>HRI-W7</x:v>
      </x:c>
      <x:c r="F299" s="45" t="n">
        <x:v>1</x:v>
      </x:c>
      <x:c r="G299" s="44" t="str">
        <x:v>Flexural</x:v>
      </x:c>
      <x:c r="H299" s="46" t="n">
        <x:v>1.5</x:v>
      </x:c>
      <x:c r="I299" s="46" t="n">
        <x:v>12</x:v>
      </x:c>
      <x:c r="J299" s="46" t="n">
        <x:v>0.036534124629080116</x:v>
      </x:c>
      <x:c r="K299" s="46" t="n">
        <x:v>0.02841543026706231</x:v>
      </x:c>
      <x:c r="L299" s="46" t="n">
        <x:v>0.10046884272997032</x:v>
      </x:c>
      <x:c r="M299" s="46" t="n">
        <x:v>0.0953946587537092</x:v>
      </x:c>
      <x:c r="N299" s="46" t="n">
        <x:v>0.08189886526331491</x:v>
      </x:c>
      <x:c r="O299" s="48" t="str">
        <x:v>B</x:v>
      </x:c>
      <x:c r="P299" s="46" t="n">
        <x:v>0.2373300370828183</x:v>
      </x:c>
      <x:c r="Q299" s="45" t="n">
        <x:v>1</x:v>
      </x:c>
    </x:row>
    <x:row r="300">
      <x:c r="A300" s="45" t="n">
        <x:v>299</x:v>
      </x:c>
      <x:c r="B300" s="45" t="n">
        <x:v>365</x:v>
      </x:c>
      <x:c r="C300" s="45" t="n">
        <x:v>0</x:v>
      </x:c>
      <x:c r="D300" s="43" t="str">
        <x:v>Oh et al. (2002)</x:v>
      </x:c>
      <x:c r="E300" s="43" t="str">
        <x:v>WR-0</x:v>
      </x:c>
      <x:c r="F300" s="45" t="n">
        <x:v>1</x:v>
      </x:c>
      <x:c r="G300" s="44" t="str">
        <x:v>Flexural</x:v>
      </x:c>
      <x:c r="H300" s="46" t="n">
        <x:v>1.5</x:v>
      </x:c>
      <x:c r="I300" s="46" t="n">
        <x:v>7.5</x:v>
      </x:c>
      <x:c r="J300" s="46" t="n">
        <x:v>0.03326443768996961</x:v>
      </x:c>
      <x:c r="K300" s="46" t="n">
        <x:v>0.029106382978723404</x:v>
      </x:c>
      <x:c r="L300" s="46" t="n">
        <x:v>0.17332218844984804</x:v>
      </x:c>
      <x:c r="M300" s="46" t="n">
        <x:v>0</x:v>
      </x:c>
      <x:c r="N300" s="46" t="n">
        <x:v>0.08389057750759879</x:v>
      </x:c>
      <x:c r="O300" s="48" t="str">
        <x:v>R</x:v>
      </x:c>
      <x:c r="P300" s="46" t="n">
        <x:v>0</x:v>
      </x:c>
      <x:c r="Q300" s="45" t="n">
        <x:v>1</x:v>
      </x:c>
    </x:row>
    <x:row r="301">
      <x:c r="A301" s="45" t="n">
        <x:v>300</x:v>
      </x:c>
      <x:c r="B301" s="45" t="n">
        <x:v>366</x:v>
      </x:c>
      <x:c r="C301" s="45" t="n">
        <x:v>0</x:v>
      </x:c>
      <x:c r="D301" s="43" t="str">
        <x:v>Palermo and Vecchio (2002)</x:v>
      </x:c>
      <x:c r="E301" s="43" t="str">
        <x:v>DP1</x:v>
      </x:c>
      <x:c r="F301" s="45" t="n">
        <x:v>4</x:v>
      </x:c>
      <x:c r="G301" s="44" t="str">
        <x:v>Sliding</x:v>
      </x:c>
      <x:c r="H301" s="46" t="n">
        <x:v>0.8110918544194108</x:v>
      </x:c>
      <x:c r="I301" s="46" t="n">
        <x:v>38.46666666666667</x:v>
      </x:c>
      <x:c r="J301" s="46" t="n">
        <x:v>0.22025345622119819</x:v>
      </x:c>
      <x:c r="K301" s="46" t="n">
        <x:v>0.20352534562211982</x:v>
      </x:c>
      <x:c r="L301" s="46" t="n">
        <x:v>0.08921658986175117</x:v>
      </x:c>
      <x:c r="M301" s="46" t="n">
        <x:v>0.027880184331797234</x:v>
      </x:c>
      <x:c r="N301" s="46" t="n">
        <x:v>0.06956573157279858</x:v>
      </x:c>
      <x:c r="O301" s="48" t="str">
        <x:v>F</x:v>
      </x:c>
      <x:c r="P301" s="46" t="n">
        <x:v>0.36390225492971034</x:v>
      </x:c>
      <x:c r="Q301" s="45" t="n">
        <x:v>1</x:v>
      </x:c>
    </x:row>
    <x:row r="302">
      <x:c r="A302" s="45" t="n">
        <x:v>301</x:v>
      </x:c>
      <x:c r="B302" s="45" t="n">
        <x:v>367</x:v>
      </x:c>
      <x:c r="C302" s="45" t="n">
        <x:v>0</x:v>
      </x:c>
      <x:c r="D302" s="43" t="str">
        <x:v>Palermo and Vecchio (2002)</x:v>
      </x:c>
      <x:c r="E302" s="43" t="str">
        <x:v>DP2</x:v>
      </x:c>
      <x:c r="F302" s="45" t="n">
        <x:v>4</x:v>
      </x:c>
      <x:c r="G302" s="44" t="str">
        <x:v>Sliding</x:v>
      </x:c>
      <x:c r="H302" s="46" t="n">
        <x:v>0.8110918544194108</x:v>
      </x:c>
      <x:c r="I302" s="46" t="n">
        <x:v>38.46666666666667</x:v>
      </x:c>
      <x:c r="J302" s="46" t="n">
        <x:v>0.25422872340425534</x:v>
      </x:c>
      <x:c r="K302" s="46" t="n">
        <x:v>0.23492021276595745</x:v>
      </x:c>
      <x:c r="L302" s="46" t="n">
        <x:v>0.09654255319148936</x:v>
      </x:c>
      <x:c r="M302" s="46" t="n">
        <x:v>0.032180851063829785</x:v>
      </x:c>
      <x:c r="N302" s="46" t="n">
        <x:v>0.07733428712287452</x:v>
      </x:c>
      <x:c r="O302" s="48" t="str">
        <x:v>F</x:v>
      </x:c>
      <x:c r="P302" s="46" t="n">
        <x:v>0.3689232167196729</x:v>
      </x:c>
      <x:c r="Q302" s="45" t="n">
        <x:v>1</x:v>
      </x:c>
    </x:row>
    <x:row r="303">
      <x:c r="A303" s="45" t="n">
        <x:v>302</x:v>
      </x:c>
      <x:c r="B303" s="45" t="n">
        <x:v>368</x:v>
      </x:c>
      <x:c r="C303" s="45" t="n">
        <x:v>0</x:v>
      </x:c>
      <x:c r="D303" s="43" t="str">
        <x:v>Paulay et al. (1982)</x:v>
      </x:c>
      <x:c r="E303" s="43" t="str">
        <x:v>wall 1</x:v>
      </x:c>
      <x:c r="F303" s="45" t="n">
        <x:v>4</x:v>
      </x:c>
      <x:c r="G303" s="44" t="str">
        <x:v>Sliding</x:v>
      </x:c>
      <x:c r="H303" s="46" t="n">
        <x:v>0.5666666666666667</x:v>
      </x:c>
      <x:c r="I303" s="46" t="n">
        <x:v>30</x:v>
      </x:c>
      <x:c r="J303" s="46" t="n">
        <x:v>0.09231617647058822</x:v>
      </x:c>
      <x:c r="K303" s="46" t="n">
        <x:v>0.2249264705882353</x:v>
      </x:c>
      <x:c r="L303" s="46" t="n">
        <x:v>0.368125</x:v>
      </x:c>
      <x:c r="M303" s="46" t="n">
        <x:v>0.2249264705882353</x:v>
      </x:c>
      <x:c r="N303" s="46" t="n">
        <x:v>0.10147058823529413</x:v>
      </x:c>
      <x:c r="O303" s="48" t="str">
        <x:v>R</x:v>
      </x:c>
      <x:c r="P303" s="46" t="n">
        <x:v>0</x:v>
      </x:c>
      <x:c r="Q303" s="45" t="n">
        <x:v>1</x:v>
      </x:c>
    </x:row>
    <x:row r="304">
      <x:c r="A304" s="45" t="n">
        <x:v>303</x:v>
      </x:c>
      <x:c r="B304" s="45" t="n">
        <x:v>369</x:v>
      </x:c>
      <x:c r="C304" s="45" t="n">
        <x:v>0</x:v>
      </x:c>
      <x:c r="D304" s="43" t="str">
        <x:v>Sittipunt and Wood (2004)</x:v>
      </x:c>
      <x:c r="E304" s="43" t="str">
        <x:v>W1</x:v>
      </x:c>
      <x:c r="F304" s="45" t="n">
        <x:v>3</x:v>
      </x:c>
      <x:c r="G304" s="44" t="str">
        <x:v>Flex-Shear</x:v>
      </x:c>
      <x:c r="H304" s="46" t="n">
        <x:v>1.4333333333333333</x:v>
      </x:c>
      <x:c r="I304" s="46" t="n">
        <x:v>15</x:v>
      </x:c>
      <x:c r="J304" s="46" t="n">
        <x:v>0.04795081967213114</x:v>
      </x:c>
      <x:c r="K304" s="46" t="n">
        <x:v>0.06308196721311475</x:v>
      </x:c>
      <x:c r="L304" s="46" t="n">
        <x:v>0.295948087431694</x:v>
      </x:c>
      <x:c r="M304" s="46" t="n">
        <x:v>0.02790163934426229</x:v>
      </x:c>
      <x:c r="N304" s="46" t="n">
        <x:v>0</x:v>
      </x:c>
      <x:c r="O304" s="48" t="str">
        <x:v>B</x:v>
      </x:c>
      <x:c r="P304" s="46" t="n">
        <x:v>0.2777777777777778</x:v>
      </x:c>
      <x:c r="Q304" s="45" t="n">
        <x:v>1</x:v>
      </x:c>
    </x:row>
    <x:row r="305">
      <x:c r="A305" s="45" t="n">
        <x:v>304</x:v>
      </x:c>
      <x:c r="B305" s="45" t="n">
        <x:v>370</x:v>
      </x:c>
      <x:c r="C305" s="45" t="n">
        <x:v>0</x:v>
      </x:c>
      <x:c r="D305" s="43" t="str">
        <x:v>Sittipunt and Wood (2004)</x:v>
      </x:c>
      <x:c r="E305" s="43" t="str">
        <x:v>W2</x:v>
      </x:c>
      <x:c r="F305" s="45" t="n">
        <x:v>3</x:v>
      </x:c>
      <x:c r="G305" s="44" t="str">
        <x:v>Flex-Shear</x:v>
      </x:c>
      <x:c r="H305" s="46" t="n">
        <x:v>1.4333333333333333</x:v>
      </x:c>
      <x:c r="I305" s="46" t="n">
        <x:v>15</x:v>
      </x:c>
      <x:c r="J305" s="46" t="n">
        <x:v>0.06536312849162011</x:v>
      </x:c>
      <x:c r="K305" s="46" t="n">
        <x:v>0.09797765363128494</x:v>
      </x:c>
      <x:c r="L305" s="46" t="n">
        <x:v>0.3025614525139665</x:v>
      </x:c>
      <x:c r="M305" s="46" t="n">
        <x:v>0.02852513966480447</x:v>
      </x:c>
      <x:c r="N305" s="46" t="n">
        <x:v>0</x:v>
      </x:c>
      <x:c r="O305" s="48" t="str">
        <x:v>B</x:v>
      </x:c>
      <x:c r="P305" s="46" t="n">
        <x:v>0.2777777777777778</x:v>
      </x:c>
      <x:c r="Q305" s="45" t="n">
        <x:v>1</x:v>
      </x:c>
    </x:row>
    <x:row r="306">
      <x:c r="A306" s="45" t="n">
        <x:v>305</x:v>
      </x:c>
      <x:c r="B306" s="45" t="n">
        <x:v>371</x:v>
      </x:c>
      <x:c r="C306" s="45" t="n">
        <x:v>0</x:v>
      </x:c>
      <x:c r="D306" s="43" t="str">
        <x:v>Taylor et al. (1996)</x:v>
      </x:c>
      <x:c r="E306" s="43" t="str">
        <x:v>RW2</x:v>
      </x:c>
      <x:c r="F306" s="45" t="n">
        <x:v>1</x:v>
      </x:c>
      <x:c r="G306" s="44" t="str">
        <x:v>Flexural</x:v>
      </x:c>
      <x:c r="H306" s="46" t="n">
        <x:v>3.122950819672131</x:v>
      </x:c>
      <x:c r="I306" s="46" t="n">
        <x:v>11.96078431372549</x:v>
      </x:c>
      <x:c r="J306" s="46" t="n">
        <x:v>0.0495</x:v>
      </x:c>
      <x:c r="K306" s="46" t="n">
        <x:v>0.0735</x:v>
      </x:c>
      <x:c r="L306" s="46" t="n">
        <x:v>0.5519999999999999</x:v>
      </x:c>
      <x:c r="M306" s="46" t="n">
        <x:v>0.041999999999999996</x:v>
      </x:c>
      <x:c r="N306" s="46" t="n">
        <x:v>0.09999988353621324</x:v>
      </x:c>
      <x:c r="O306" s="48" t="str">
        <x:v>R</x:v>
      </x:c>
      <x:c r="P306" s="46" t="n">
        <x:v>0</x:v>
      </x:c>
      <x:c r="Q306" s="45" t="n">
        <x:v>1</x:v>
      </x:c>
    </x:row>
    <x:row r="307">
      <x:c r="A307" s="45" t="n">
        <x:v>306</x:v>
      </x:c>
      <x:c r="B307" s="45" t="n">
        <x:v>372</x:v>
      </x:c>
      <x:c r="C307" s="45" t="n">
        <x:v>0</x:v>
      </x:c>
      <x:c r="D307" s="43" t="str">
        <x:v>Tokunaga and Nakachi (2012)</x:v>
      </x:c>
      <x:c r="E307" s="43" t="str">
        <x:v>No3</x:v>
      </x:c>
      <x:c r="F307" s="45" t="n">
        <x:v>2</x:v>
      </x:c>
      <x:c r="G307" s="44" t="str">
        <x:v>Shear</x:v>
      </x:c>
      <x:c r="H307" s="46" t="n">
        <x:v>1.8604651162790697</x:v>
      </x:c>
      <x:c r="I307" s="46" t="n">
        <x:v>4.777777777777778</x:v>
      </x:c>
      <x:c r="J307" s="46" t="n">
        <x:v>0.18656280587275695</x:v>
      </x:c>
      <x:c r="K307" s="46" t="n">
        <x:v>0.07039477977161501</x:v>
      </x:c>
      <x:c r="L307" s="46" t="n">
        <x:v>0</x:v>
      </x:c>
      <x:c r="M307" s="46" t="n">
        <x:v>0</x:v>
      </x:c>
      <x:c r="N307" s="46" t="n">
        <x:v>0.19980525310773045</x:v>
      </x:c>
      <x:c r="O307" s="48" t="str">
        <x:v>R</x:v>
      </x:c>
      <x:c r="P307" s="46" t="n">
        <x:v>0</x:v>
      </x:c>
      <x:c r="Q307" s="45" t="n">
        <x:v>1</x:v>
      </x:c>
    </x:row>
    <x:row r="308">
      <x:c r="A308" s="45" t="n">
        <x:v>307</x:v>
      </x:c>
      <x:c r="B308" s="45" t="n">
        <x:v>373</x:v>
      </x:c>
      <x:c r="C308" s="45" t="n">
        <x:v>0</x:v>
      </x:c>
      <x:c r="D308" s="43" t="str">
        <x:v>Tokunaga and Nakachi (2012)</x:v>
      </x:c>
      <x:c r="E308" s="43" t="str">
        <x:v>No4</x:v>
      </x:c>
      <x:c r="F308" s="45" t="n">
        <x:v>2</x:v>
      </x:c>
      <x:c r="G308" s="44" t="str">
        <x:v>Shear</x:v>
      </x:c>
      <x:c r="H308" s="46" t="n">
        <x:v>1.8604651162790697</x:v>
      </x:c>
      <x:c r="I308" s="46" t="n">
        <x:v>4.777777777777778</x:v>
      </x:c>
      <x:c r="J308" s="46" t="n">
        <x:v>0.3518861538461539</x:v>
      </x:c>
      <x:c r="K308" s="46" t="n">
        <x:v>0.1327753846153846</x:v>
      </x:c>
      <x:c r="L308" s="46" t="n">
        <x:v>0</x:v>
      </x:c>
      <x:c r="M308" s="46" t="n">
        <x:v>0</x:v>
      </x:c>
      <x:c r="N308" s="46" t="n">
        <x:v>0.39992049294374876</x:v>
      </x:c>
      <x:c r="O308" s="48" t="str">
        <x:v>R</x:v>
      </x:c>
      <x:c r="P308" s="46" t="n">
        <x:v>0</x:v>
      </x:c>
      <x:c r="Q308" s="45" t="n">
        <x:v>1</x:v>
      </x:c>
    </x:row>
    <x:row r="309">
      <x:c r="A309" s="45" t="n">
        <x:v>308</x:v>
      </x:c>
      <x:c r="B309" s="45" t="n">
        <x:v>374</x:v>
      </x:c>
      <x:c r="C309" s="45" t="n">
        <x:v>0</x:v>
      </x:c>
      <x:c r="D309" s="43" t="str">
        <x:v>Tokunaga and Nakachi (2012)</x:v>
      </x:c>
      <x:c r="E309" s="43" t="str">
        <x:v>H1</x:v>
      </x:c>
      <x:c r="F309" s="45" t="n">
        <x:v>2</x:v>
      </x:c>
      <x:c r="G309" s="44" t="str">
        <x:v>Shear</x:v>
      </x:c>
      <x:c r="H309" s="46" t="n">
        <x:v>1.8604651162790697</x:v>
      </x:c>
      <x:c r="I309" s="46" t="n">
        <x:v>4.777777777777778</x:v>
      </x:c>
      <x:c r="J309" s="46" t="n">
        <x:v>0.32034453781512606</x:v>
      </x:c>
      <x:c r="K309" s="46" t="n">
        <x:v>0.12087394957983193</x:v>
      </x:c>
      <x:c r="L309" s="46" t="n">
        <x:v>0</x:v>
      </x:c>
      <x:c r="M309" s="46" t="n">
        <x:v>0</x:v>
      </x:c>
      <x:c r="N309" s="46" t="n">
        <x:v>0.4002634645589501</x:v>
      </x:c>
      <x:c r="O309" s="48" t="str">
        <x:v>R</x:v>
      </x:c>
      <x:c r="P309" s="46" t="n">
        <x:v>0</x:v>
      </x:c>
      <x:c r="Q309" s="45" t="n">
        <x:v>1</x:v>
      </x:c>
    </x:row>
    <x:row r="310">
      <x:c r="A310" s="45" t="n">
        <x:v>309</x:v>
      </x:c>
      <x:c r="B310" s="45" t="n">
        <x:v>375</x:v>
      </x:c>
      <x:c r="C310" s="45" t="n">
        <x:v>0</x:v>
      </x:c>
      <x:c r="D310" s="43" t="str">
        <x:v>Tomazevic et al. (1996)</x:v>
      </x:c>
      <x:c r="E310" s="43" t="str">
        <x:v>SW00N1</x:v>
      </x:c>
      <x:c r="F310" s="45" t="n">
        <x:v>2</x:v>
      </x:c>
      <x:c r="G310" s="44" t="str">
        <x:v>Shear</x:v>
      </x:c>
      <x:c r="H310" s="46" t="n">
        <x:v>1.7010309278350515</x:v>
      </x:c>
      <x:c r="I310" s="46" t="n">
        <x:v>19.4</x:v>
      </x:c>
      <x:c r="J310" s="46" t="n">
        <x:v>0.030238442822384425</x:v>
      </x:c>
      <x:c r="K310" s="46" t="n">
        <x:v>0.030238442822384425</x:v>
      </x:c>
      <x:c r="L310" s="46" t="n">
        <x:v>0</x:v>
      </x:c>
      <x:c r="M310" s="46" t="n">
        <x:v>0</x:v>
      </x:c>
      <x:c r="N310" s="46" t="n">
        <x:v>0.051094890510948905</x:v>
      </x:c>
      <x:c r="O310" s="48" t="str">
        <x:v>R</x:v>
      </x:c>
      <x:c r="P310" s="46" t="n">
        <x:v>0</x:v>
      </x:c>
      <x:c r="Q310" s="45" t="n">
        <x:v>1</x:v>
      </x:c>
    </x:row>
    <x:row r="311">
      <x:c r="A311" s="45" t="n">
        <x:v>310</x:v>
      </x:c>
      <x:c r="B311" s="45" t="n">
        <x:v>376</x:v>
      </x:c>
      <x:c r="C311" s="45" t="n">
        <x:v>0</x:v>
      </x:c>
      <x:c r="D311" s="43" t="str">
        <x:v>Tomazevic et al. (1996)</x:v>
      </x:c>
      <x:c r="E311" s="43" t="str">
        <x:v>SW00N2</x:v>
      </x:c>
      <x:c r="F311" s="45" t="n">
        <x:v>2</x:v>
      </x:c>
      <x:c r="G311" s="44" t="str">
        <x:v>Shear</x:v>
      </x:c>
      <x:c r="H311" s="46" t="n">
        <x:v>1.7010309278350515</x:v>
      </x:c>
      <x:c r="I311" s="46" t="n">
        <x:v>19.4</x:v>
      </x:c>
      <x:c r="J311" s="46" t="n">
        <x:v>0.030238442822384425</x:v>
      </x:c>
      <x:c r="K311" s="46" t="n">
        <x:v>0.030238442822384425</x:v>
      </x:c>
      <x:c r="L311" s="46" t="n">
        <x:v>0</x:v>
      </x:c>
      <x:c r="M311" s="46" t="n">
        <x:v>0</x:v>
      </x:c>
      <x:c r="N311" s="46" t="n">
        <x:v>0.10218978102189781</x:v>
      </x:c>
      <x:c r="O311" s="48" t="str">
        <x:v>R</x:v>
      </x:c>
      <x:c r="P311" s="46" t="n">
        <x:v>0</x:v>
      </x:c>
      <x:c r="Q311" s="45" t="n">
        <x:v>1</x:v>
      </x:c>
    </x:row>
    <x:row r="312">
      <x:c r="A312" s="45" t="n">
        <x:v>311</x:v>
      </x:c>
      <x:c r="B312" s="45" t="n">
        <x:v>377</x:v>
      </x:c>
      <x:c r="C312" s="45" t="n">
        <x:v>0</x:v>
      </x:c>
      <x:c r="D312" s="43" t="str">
        <x:v>Tomazevic et al. (1996)</x:v>
      </x:c>
      <x:c r="E312" s="43" t="str">
        <x:v>SW23N1</x:v>
      </x:c>
      <x:c r="F312" s="45" t="n">
        <x:v>2</x:v>
      </x:c>
      <x:c r="G312" s="44" t="str">
        <x:v>Shear</x:v>
      </x:c>
      <x:c r="H312" s="46" t="n">
        <x:v>1.7010309278350515</x:v>
      </x:c>
      <x:c r="I312" s="46" t="n">
        <x:v>19.4</x:v>
      </x:c>
      <x:c r="J312" s="46" t="n">
        <x:v>0.02267883211678832</x:v>
      </x:c>
      <x:c r="K312" s="46" t="n">
        <x:v>0.02267883211678832</x:v>
      </x:c>
      <x:c r="L312" s="46" t="n">
        <x:v>0.2258029197080292</x:v>
      </x:c>
      <x:c r="M312" s="46" t="n">
        <x:v>0</x:v>
      </x:c>
      <x:c r="N312" s="46" t="n">
        <x:v>0.03832116788321168</x:v>
      </x:c>
      <x:c r="O312" s="48" t="str">
        <x:v>R</x:v>
      </x:c>
      <x:c r="P312" s="46" t="n">
        <x:v>0</x:v>
      </x:c>
      <x:c r="Q312" s="45" t="n">
        <x:v>1</x:v>
      </x:c>
    </x:row>
    <x:row r="313">
      <x:c r="A313" s="45" t="n">
        <x:v>312</x:v>
      </x:c>
      <x:c r="B313" s="45" t="n">
        <x:v>378</x:v>
      </x:c>
      <x:c r="C313" s="45" t="n">
        <x:v>0</x:v>
      </x:c>
      <x:c r="D313" s="43" t="str">
        <x:v>Tomazevic et al. (1996)</x:v>
      </x:c>
      <x:c r="E313" s="43" t="str">
        <x:v>SW23N2</x:v>
      </x:c>
      <x:c r="F313" s="45" t="n">
        <x:v>2</x:v>
      </x:c>
      <x:c r="G313" s="44" t="str">
        <x:v>Shear</x:v>
      </x:c>
      <x:c r="H313" s="46" t="n">
        <x:v>1.7010309278350515</x:v>
      </x:c>
      <x:c r="I313" s="46" t="n">
        <x:v>19.4</x:v>
      </x:c>
      <x:c r="J313" s="46" t="n">
        <x:v>0.02267883211678832</x:v>
      </x:c>
      <x:c r="K313" s="46" t="n">
        <x:v>0.02267883211678832</x:v>
      </x:c>
      <x:c r="L313" s="46" t="n">
        <x:v>0.2258029197080292</x:v>
      </x:c>
      <x:c r="M313" s="46" t="n">
        <x:v>0</x:v>
      </x:c>
      <x:c r="N313" s="46" t="n">
        <x:v>0.07664233576642336</x:v>
      </x:c>
      <x:c r="O313" s="48" t="str">
        <x:v>R</x:v>
      </x:c>
      <x:c r="P313" s="46" t="n">
        <x:v>0</x:v>
      </x:c>
      <x:c r="Q313" s="45" t="n">
        <x:v>1</x:v>
      </x:c>
    </x:row>
    <x:row r="314">
      <x:c r="A314" s="45" t="n">
        <x:v>313</x:v>
      </x:c>
      <x:c r="B314" s="45" t="n">
        <x:v>379</x:v>
      </x:c>
      <x:c r="C314" s="45" t="n">
        <x:v>0</x:v>
      </x:c>
      <x:c r="D314" s="43" t="str">
        <x:v>Tomazevic et al. (1996)</x:v>
      </x:c>
      <x:c r="E314" s="43" t="str">
        <x:v>SW23C1</x:v>
      </x:c>
      <x:c r="F314" s="45" t="n">
        <x:v>2</x:v>
      </x:c>
      <x:c r="G314" s="44" t="str">
        <x:v>Shear</x:v>
      </x:c>
      <x:c r="H314" s="46" t="n">
        <x:v>1.7010309278350515</x:v>
      </x:c>
      <x:c r="I314" s="46" t="n">
        <x:v>19.4</x:v>
      </x:c>
      <x:c r="J314" s="46" t="n">
        <x:v>0.030238442822384425</x:v>
      </x:c>
      <x:c r="K314" s="46" t="n">
        <x:v>0.030238442822384425</x:v>
      </x:c>
      <x:c r="L314" s="46" t="n">
        <x:v>0.3010705596107056</x:v>
      </x:c>
      <x:c r="M314" s="46" t="n">
        <x:v>0.017445255474452553</x:v>
      </x:c>
      <x:c r="N314" s="46" t="n">
        <x:v>0.051094890510948905</x:v>
      </x:c>
      <x:c r="O314" s="48" t="str">
        <x:v>R</x:v>
      </x:c>
      <x:c r="P314" s="46" t="n">
        <x:v>0</x:v>
      </x:c>
      <x:c r="Q314" s="45" t="n">
        <x:v>1</x:v>
      </x:c>
    </x:row>
    <x:row r="315">
      <x:c r="A315" s="45" t="n">
        <x:v>314</x:v>
      </x:c>
      <x:c r="B315" s="45" t="n">
        <x:v>380</x:v>
      </x:c>
      <x:c r="C315" s="45" t="n">
        <x:v>0</x:v>
      </x:c>
      <x:c r="D315" s="43" t="str">
        <x:v>Tomazevic et al. (1996)</x:v>
      </x:c>
      <x:c r="E315" s="43" t="str">
        <x:v>SW23C2</x:v>
      </x:c>
      <x:c r="F315" s="45" t="n">
        <x:v>2</x:v>
      </x:c>
      <x:c r="G315" s="44" t="str">
        <x:v>Shear</x:v>
      </x:c>
      <x:c r="H315" s="46" t="n">
        <x:v>1.7010309278350515</x:v>
      </x:c>
      <x:c r="I315" s="46" t="n">
        <x:v>19.4</x:v>
      </x:c>
      <x:c r="J315" s="46" t="n">
        <x:v>0.030238442822384425</x:v>
      </x:c>
      <x:c r="K315" s="46" t="n">
        <x:v>0.030238442822384425</x:v>
      </x:c>
      <x:c r="L315" s="46" t="n">
        <x:v>0.3010705596107056</x:v>
      </x:c>
      <x:c r="M315" s="46" t="n">
        <x:v>0.017445255474452553</x:v>
      </x:c>
      <x:c r="N315" s="46" t="n">
        <x:v>0.10218978102189781</x:v>
      </x:c>
      <x:c r="O315" s="48" t="str">
        <x:v>R</x:v>
      </x:c>
      <x:c r="P315" s="46" t="n">
        <x:v>0</x:v>
      </x:c>
      <x:c r="Q315" s="45" t="n">
        <x:v>1</x:v>
      </x:c>
    </x:row>
    <x:row r="316">
      <x:c r="A316" s="45" t="n">
        <x:v>315</x:v>
      </x:c>
      <x:c r="B316" s="45" t="n">
        <x:v>381</x:v>
      </x:c>
      <x:c r="C316" s="45" t="n">
        <x:v>0</x:v>
      </x:c>
      <x:c r="D316" s="43" t="str">
        <x:v>Tomazevic et al. (1996)</x:v>
      </x:c>
      <x:c r="E316" s="43" t="str">
        <x:v>SW60N1</x:v>
      </x:c>
      <x:c r="F316" s="45" t="n">
        <x:v>2</x:v>
      </x:c>
      <x:c r="G316" s="44" t="str">
        <x:v>Shear</x:v>
      </x:c>
      <x:c r="H316" s="46" t="n">
        <x:v>1.7010309278350515</x:v>
      </x:c>
      <x:c r="I316" s="46" t="n">
        <x:v>19.4</x:v>
      </x:c>
      <x:c r="J316" s="46" t="n">
        <x:v>0.043362530413625304</x:v>
      </x:c>
      <x:c r="K316" s="46" t="n">
        <x:v>0.043362530413625304</x:v>
      </x:c>
      <x:c r="L316" s="46" t="n">
        <x:v>0.6788321167883211</x:v>
      </x:c>
      <x:c r="M316" s="46" t="n">
        <x:v>0</x:v>
      </x:c>
      <x:c r="N316" s="46" t="n">
        <x:v>0.051094890510948905</x:v>
      </x:c>
      <x:c r="O316" s="48" t="str">
        <x:v>R</x:v>
      </x:c>
      <x:c r="P316" s="46" t="n">
        <x:v>0</x:v>
      </x:c>
      <x:c r="Q316" s="45" t="n">
        <x:v>1</x:v>
      </x:c>
    </x:row>
    <x:row r="317">
      <x:c r="A317" s="45" t="n">
        <x:v>316</x:v>
      </x:c>
      <x:c r="B317" s="45" t="n">
        <x:v>382</x:v>
      </x:c>
      <x:c r="C317" s="45" t="n">
        <x:v>0</x:v>
      </x:c>
      <x:c r="D317" s="43" t="str">
        <x:v>Tomazevic et al. (1996)</x:v>
      </x:c>
      <x:c r="E317" s="43" t="str">
        <x:v>SW60N2</x:v>
      </x:c>
      <x:c r="F317" s="45" t="n">
        <x:v>2</x:v>
      </x:c>
      <x:c r="G317" s="44" t="str">
        <x:v>Shear</x:v>
      </x:c>
      <x:c r="H317" s="46" t="n">
        <x:v>1.7010309278350515</x:v>
      </x:c>
      <x:c r="I317" s="46" t="n">
        <x:v>19.4</x:v>
      </x:c>
      <x:c r="J317" s="46" t="n">
        <x:v>0.043362530413625304</x:v>
      </x:c>
      <x:c r="K317" s="46" t="n">
        <x:v>0.043362530413625304</x:v>
      </x:c>
      <x:c r="L317" s="46" t="n">
        <x:v>0.6788321167883211</x:v>
      </x:c>
      <x:c r="M317" s="46" t="n">
        <x:v>0</x:v>
      </x:c>
      <x:c r="N317" s="46" t="n">
        <x:v>0.10218978102189781</x:v>
      </x:c>
      <x:c r="O317" s="48" t="str">
        <x:v>R</x:v>
      </x:c>
      <x:c r="P317" s="46" t="n">
        <x:v>0</x:v>
      </x:c>
      <x:c r="Q317" s="45" t="n">
        <x:v>1</x:v>
      </x:c>
    </x:row>
    <x:row r="318">
      <x:c r="A318" s="45" t="n">
        <x:v>317</x:v>
      </x:c>
      <x:c r="B318" s="45" t="n">
        <x:v>383</x:v>
      </x:c>
      <x:c r="C318" s="45" t="n">
        <x:v>0</x:v>
      </x:c>
      <x:c r="D318" s="43" t="str">
        <x:v>Tomazevic et al. (1996)</x:v>
      </x:c>
      <x:c r="E318" s="43" t="str">
        <x:v>SW60C1</x:v>
      </x:c>
      <x:c r="F318" s="45" t="n">
        <x:v>2</x:v>
      </x:c>
      <x:c r="G318" s="44" t="str">
        <x:v>Shear</x:v>
      </x:c>
      <x:c r="H318" s="46" t="n">
        <x:v>1.7010309278350515</x:v>
      </x:c>
      <x:c r="I318" s="46" t="n">
        <x:v>19.4</x:v>
      </x:c>
      <x:c r="J318" s="46" t="n">
        <x:v>0.043362530413625304</x:v>
      </x:c>
      <x:c r="K318" s="46" t="n">
        <x:v>0.043362530413625304</x:v>
      </x:c>
      <x:c r="L318" s="46" t="n">
        <x:v>0.6788321167883211</x:v>
      </x:c>
      <x:c r="M318" s="46" t="n">
        <x:v>0.01711678832116788</x:v>
      </x:c>
      <x:c r="N318" s="46" t="n">
        <x:v>0.051094890510948905</x:v>
      </x:c>
      <x:c r="O318" s="48" t="str">
        <x:v>R</x:v>
      </x:c>
      <x:c r="P318" s="46" t="n">
        <x:v>0</x:v>
      </x:c>
      <x:c r="Q318" s="45" t="n">
        <x:v>1</x:v>
      </x:c>
    </x:row>
    <x:row r="319">
      <x:c r="A319" s="45" t="n">
        <x:v>318</x:v>
      </x:c>
      <x:c r="B319" s="45" t="n">
        <x:v>384</x:v>
      </x:c>
      <x:c r="C319" s="45" t="n">
        <x:v>0</x:v>
      </x:c>
      <x:c r="D319" s="43" t="str">
        <x:v>Tomazevic et al. (1996)</x:v>
      </x:c>
      <x:c r="E319" s="43" t="str">
        <x:v>SW60C2</x:v>
      </x:c>
      <x:c r="F319" s="45" t="n">
        <x:v>2</x:v>
      </x:c>
      <x:c r="G319" s="44" t="str">
        <x:v>Shear</x:v>
      </x:c>
      <x:c r="H319" s="46" t="n">
        <x:v>1.7010309278350515</x:v>
      </x:c>
      <x:c r="I319" s="46" t="n">
        <x:v>19.4</x:v>
      </x:c>
      <x:c r="J319" s="46" t="n">
        <x:v>0.043362530413625304</x:v>
      </x:c>
      <x:c r="K319" s="46" t="n">
        <x:v>0.043362530413625304</x:v>
      </x:c>
      <x:c r="L319" s="46" t="n">
        <x:v>0.6788321167883211</x:v>
      </x:c>
      <x:c r="M319" s="46" t="n">
        <x:v>0.01711678832116788</x:v>
      </x:c>
      <x:c r="N319" s="46" t="n">
        <x:v>0.10218978102189781</x:v>
      </x:c>
      <x:c r="O319" s="48" t="str">
        <x:v>R</x:v>
      </x:c>
      <x:c r="P319" s="46" t="n">
        <x:v>0</x:v>
      </x:c>
      <x:c r="Q319" s="45" t="n">
        <x:v>1</x:v>
      </x:c>
    </x:row>
    <x:row r="320">
      <x:c r="A320" s="45" t="n">
        <x:v>319</x:v>
      </x:c>
      <x:c r="B320" s="45" t="n">
        <x:v>385</x:v>
      </x:c>
      <x:c r="C320" s="45" t="n">
        <x:v>0</x:v>
      </x:c>
      <x:c r="D320" s="43" t="str">
        <x:v>Wallace et al. (2008)</x:v>
      </x:c>
      <x:c r="E320" s="43" t="str">
        <x:v>P0.05</x:v>
      </x:c>
      <x:c r="F320" s="45" t="n">
        <x:v>2</x:v>
      </x:c>
      <x:c r="G320" s="44" t="str">
        <x:v>Shear</x:v>
      </x:c>
      <x:c r="H320" s="46" t="n">
        <x:v>0.44525547445255476</x:v>
      </x:c>
      <x:c r="I320" s="46" t="n">
        <x:v>9.013157894736842</x:v>
      </x:c>
      <x:c r="J320" s="46" t="n">
        <x:v>0.034193548387096775</x:v>
      </x:c>
      <x:c r="K320" s="46" t="n">
        <x:v>0.036929032258064515</x:v>
      </x:c>
      <x:c r="L320" s="46" t="n">
        <x:v>0.1778064516129032</x:v>
      </x:c>
      <x:c r="M320" s="46" t="n">
        <x:v>0</x:v>
      </x:c>
      <x:c r="N320" s="46" t="n">
        <x:v>0.04999969018378298</x:v>
      </x:c>
      <x:c r="O320" s="48" t="str">
        <x:v>R</x:v>
      </x:c>
      <x:c r="P320" s="46" t="n">
        <x:v>0</x:v>
      </x:c>
      <x:c r="Q320" s="45" t="n">
        <x:v>1</x:v>
      </x:c>
    </x:row>
    <x:row r="321">
      <x:c r="A321" s="45" t="n">
        <x:v>320</x:v>
      </x:c>
      <x:c r="B321" s="45" t="n">
        <x:v>387</x:v>
      </x:c>
      <x:c r="C321" s="45" t="n">
        <x:v>0</x:v>
      </x:c>
      <x:c r="D321" s="43" t="str">
        <x:v>Su and Wong (2007)</x:v>
      </x:c>
      <x:c r="E321" s="43" t="str">
        <x:v>W1</x:v>
      </x:c>
      <x:c r="F321" s="45" t="n">
        <x:v>1</x:v>
      </x:c>
      <x:c r="G321" s="44" t="str">
        <x:v>Flexural</x:v>
      </x:c>
      <x:c r="H321" s="46" t="n">
        <x:v>4.1</x:v>
      </x:c>
      <x:c r="I321" s="46" t="n">
        <x:v>5</x:v>
      </x:c>
      <x:c r="J321" s="46" t="n">
        <x:v>0.16114743193214576</x:v>
      </x:c>
      <x:c r="K321" s="46" t="n">
        <x:v>0.01859962094822652</x:v>
      </x:c>
      <x:c r="L321" s="46" t="n">
        <x:v>0</x:v>
      </x:c>
      <x:c r="M321" s="46" t="n">
        <x:v>0</x:v>
      </x:c>
      <x:c r="N321" s="46" t="n">
        <x:v>0.24962649402390438</x:v>
      </x:c>
      <x:c r="O321" s="48" t="str">
        <x:v>R</x:v>
      </x:c>
      <x:c r="P321" s="46" t="n">
        <x:v>0</x:v>
      </x:c>
      <x:c r="Q321" s="45" t="n">
        <x:v>1</x:v>
      </x:c>
    </x:row>
    <x:row r="322">
      <x:c r="A322" s="45" t="n">
        <x:v>321</x:v>
      </x:c>
      <x:c r="B322" s="45" t="n">
        <x:v>388</x:v>
      </x:c>
      <x:c r="C322" s="45" t="n">
        <x:v>0</x:v>
      </x:c>
      <x:c r="D322" s="43" t="str">
        <x:v>Su and Wong (2007)</x:v>
      </x:c>
      <x:c r="E322" s="43" t="str">
        <x:v>W2</x:v>
      </x:c>
      <x:c r="F322" s="45" t="n">
        <x:v>1</x:v>
      </x:c>
      <x:c r="G322" s="44" t="str">
        <x:v>Flexural</x:v>
      </x:c>
      <x:c r="H322" s="46" t="n">
        <x:v>4.1</x:v>
      </x:c>
      <x:c r="I322" s="46" t="n">
        <x:v>5</x:v>
      </x:c>
      <x:c r="J322" s="46" t="n">
        <x:v>0.19353112638740952</x:v>
      </x:c>
      <x:c r="K322" s="46" t="n">
        <x:v>0.02233734381820506</x:v>
      </x:c>
      <x:c r="L322" s="46" t="n">
        <x:v>0</x:v>
      </x:c>
      <x:c r="M322" s="46" t="n">
        <x:v>0</x:v>
      </x:c>
      <x:c r="N322" s="46" t="n">
        <x:v>0.4994019138755981</x:v>
      </x:c>
      <x:c r="O322" s="48" t="str">
        <x:v>R</x:v>
      </x:c>
      <x:c r="P322" s="46" t="n">
        <x:v>0</x:v>
      </x:c>
      <x:c r="Q322" s="45" t="n">
        <x:v>1</x:v>
      </x:c>
    </x:row>
    <x:row r="323">
      <x:c r="A323" s="45" t="n">
        <x:v>322</x:v>
      </x:c>
      <x:c r="B323" s="45" t="n">
        <x:v>389</x:v>
      </x:c>
      <x:c r="C323" s="45" t="n">
        <x:v>0</x:v>
      </x:c>
      <x:c r="D323" s="43" t="str">
        <x:v>Su and Wong (2007)</x:v>
      </x:c>
      <x:c r="E323" s="43" t="str">
        <x:v>W3</x:v>
      </x:c>
      <x:c r="F323" s="45" t="n">
        <x:v>1</x:v>
      </x:c>
      <x:c r="G323" s="44" t="str">
        <x:v>Flexural</x:v>
      </x:c>
      <x:c r="H323" s="46" t="n">
        <x:v>4.1</x:v>
      </x:c>
      <x:c r="I323" s="46" t="n">
        <x:v>5</x:v>
      </x:c>
      <x:c r="J323" s="46" t="n">
        <x:v>0.18856878981337336</x:v>
      </x:c>
      <x:c r="K323" s="46" t="n">
        <x:v>0.04352918282522011</x:v>
      </x:c>
      <x:c r="L323" s="46" t="n">
        <x:v>0</x:v>
      </x:c>
      <x:c r="M323" s="46" t="n">
        <x:v>0</x:v>
      </x:c>
      <x:c r="N323" s="46" t="n">
        <x:v>0.4865967365967366</x:v>
      </x:c>
      <x:c r="O323" s="48" t="str">
        <x:v>R</x:v>
      </x:c>
      <x:c r="P323" s="46" t="n">
        <x:v>0</x:v>
      </x:c>
      <x:c r="Q323" s="45" t="n">
        <x:v>1</x:v>
      </x:c>
    </x:row>
    <x:row r="324">
      <x:c r="A324" s="45" t="n">
        <x:v>323</x:v>
      </x:c>
      <x:c r="B324" s="45" t="n">
        <x:v>390</x:v>
      </x:c>
      <x:c r="C324" s="45" t="n">
        <x:v>0</x:v>
      </x:c>
      <x:c r="D324" s="43" t="str">
        <x:v>Dabbagh (2005)</x:v>
      </x:c>
      <x:c r="E324" s="43" t="str">
        <x:v>SW1</x:v>
      </x:c>
      <x:c r="F324" s="45" t="n">
        <x:v>3</x:v>
      </x:c>
      <x:c r="G324" s="44" t="str">
        <x:v>Flex-Shear</x:v>
      </x:c>
      <x:c r="H324" s="46" t="n">
        <x:v>1.1</x:v>
      </x:c>
      <x:c r="I324" s="46" t="n">
        <x:v>13.333333333333334</x:v>
      </x:c>
      <x:c r="J324" s="46" t="n">
        <x:v>0.03116279069767442</x:v>
      </x:c>
      <x:c r="K324" s="46" t="n">
        <x:v>0.03116279069767442</x:v>
      </x:c>
      <x:c r="L324" s="46" t="n">
        <x:v>0.4000058139534884</x:v>
      </x:c>
      <x:c r="M324" s="46" t="n">
        <x:v>0.006232558139534884</x:v>
      </x:c>
      <x:c r="N324" s="46" t="n">
        <x:v>0.10335917312661498</x:v>
      </x:c>
      <x:c r="O324" s="48" t="str">
        <x:v>F</x:v>
      </x:c>
      <x:c r="P324" s="46" t="n">
        <x:v>0.2777777777777778</x:v>
      </x:c>
      <x:c r="Q324" s="45" t="n">
        <x:v>1</x:v>
      </x:c>
    </x:row>
    <x:row r="325">
      <x:c r="A325" s="45" t="n">
        <x:v>324</x:v>
      </x:c>
      <x:c r="B325" s="45" t="n">
        <x:v>391</x:v>
      </x:c>
      <x:c r="C325" s="45" t="n">
        <x:v>0</x:v>
      </x:c>
      <x:c r="D325" s="43" t="str">
        <x:v>Dabbagh (2005)</x:v>
      </x:c>
      <x:c r="E325" s="43" t="str">
        <x:v>SW2</x:v>
      </x:c>
      <x:c r="F325" s="45" t="n">
        <x:v>4</x:v>
      </x:c>
      <x:c r="G325" s="44" t="str">
        <x:v>Sliding</x:v>
      </x:c>
      <x:c r="H325" s="46" t="n">
        <x:v>1.1</x:v>
      </x:c>
      <x:c r="I325" s="46" t="n">
        <x:v>13.333333333333334</x:v>
      </x:c>
      <x:c r="J325" s="46" t="n">
        <x:v>0.07527906976744185</x:v>
      </x:c>
      <x:c r="K325" s="46" t="n">
        <x:v>0.07527906976744185</x:v>
      </x:c>
      <x:c r="L325" s="46" t="n">
        <x:v>0.4000058139534884</x:v>
      </x:c>
      <x:c r="M325" s="46" t="n">
        <x:v>0.012739534883720932</x:v>
      </x:c>
      <x:c r="N325" s="46" t="n">
        <x:v>0.11240310077519379</x:v>
      </x:c>
      <x:c r="O325" s="48" t="str">
        <x:v>F</x:v>
      </x:c>
      <x:c r="P325" s="46" t="n">
        <x:v>0.2777777777777778</x:v>
      </x:c>
      <x:c r="Q325" s="45" t="n">
        <x:v>1</x:v>
      </x:c>
    </x:row>
    <x:row r="326">
      <x:c r="A326" s="45" t="n">
        <x:v>325</x:v>
      </x:c>
      <x:c r="B326" s="45" t="n">
        <x:v>392</x:v>
      </x:c>
      <x:c r="C326" s="45" t="n">
        <x:v>0</x:v>
      </x:c>
      <x:c r="D326" s="43" t="str">
        <x:v>Dabbagh (2005)</x:v>
      </x:c>
      <x:c r="E326" s="43" t="str">
        <x:v>SW3</x:v>
      </x:c>
      <x:c r="F326" s="45" t="n">
        <x:v>3</x:v>
      </x:c>
      <x:c r="G326" s="44" t="str">
        <x:v>Flex-Shear</x:v>
      </x:c>
      <x:c r="H326" s="46" t="n">
        <x:v>1.1</x:v>
      </x:c>
      <x:c r="I326" s="46" t="n">
        <x:v>13.333333333333334</x:v>
      </x:c>
      <x:c r="J326" s="46" t="n">
        <x:v>0.0415</x:v>
      </x:c>
      <x:c r="K326" s="46" t="n">
        <x:v>0.04466666666666667</x:v>
      </x:c>
      <x:c r="L326" s="46" t="n">
        <x:v>0.3583385416666667</x:v>
      </x:c>
      <x:c r="M326" s="46" t="n">
        <x:v>0.007816666666666666</x:v>
      </x:c>
      <x:c r="N326" s="46" t="n">
        <x:v>0.09259259259259259</x:v>
      </x:c>
      <x:c r="O326" s="48" t="str">
        <x:v>F</x:v>
      </x:c>
      <x:c r="P326" s="46" t="n">
        <x:v>0.2777777777777778</x:v>
      </x:c>
      <x:c r="Q326" s="45" t="n">
        <x:v>1</x:v>
      </x:c>
    </x:row>
    <x:row r="327">
      <x:c r="A327" s="45" t="n">
        <x:v>326</x:v>
      </x:c>
      <x:c r="B327" s="45" t="n">
        <x:v>393</x:v>
      </x:c>
      <x:c r="C327" s="45" t="n">
        <x:v>0</x:v>
      </x:c>
      <x:c r="D327" s="43" t="str">
        <x:v>Dabbagh (2005)</x:v>
      </x:c>
      <x:c r="E327" s="43" t="str">
        <x:v>SW4</x:v>
      </x:c>
      <x:c r="F327" s="45" t="n">
        <x:v>3</x:v>
      </x:c>
      <x:c r="G327" s="44" t="str">
        <x:v>Flex-Shear</x:v>
      </x:c>
      <x:c r="H327" s="46" t="n">
        <x:v>1.1</x:v>
      </x:c>
      <x:c r="I327" s="46" t="n">
        <x:v>13.333333333333334</x:v>
      </x:c>
      <x:c r="J327" s="46" t="n">
        <x:v>0.0415</x:v>
      </x:c>
      <x:c r="K327" s="46" t="n">
        <x:v>0.04466666666666667</x:v>
      </x:c>
      <x:c r="L327" s="46" t="n">
        <x:v>0.3583385416666667</x:v>
      </x:c>
      <x:c r="M327" s="46" t="n">
        <x:v>0.007816666666666666</x:v>
      </x:c>
      <x:c r="N327" s="46" t="n">
        <x:v>0</x:v>
      </x:c>
      <x:c r="O327" s="48" t="str">
        <x:v>F</x:v>
      </x:c>
      <x:c r="P327" s="46" t="n">
        <x:v>0.2777777777777778</x:v>
      </x:c>
      <x:c r="Q327" s="45" t="n">
        <x:v>1</x:v>
      </x:c>
    </x:row>
    <x:row r="328">
      <x:c r="A328" s="45" t="n">
        <x:v>327</x:v>
      </x:c>
      <x:c r="B328" s="45" t="n">
        <x:v>394</x:v>
      </x:c>
      <x:c r="C328" s="45" t="n">
        <x:v>0</x:v>
      </x:c>
      <x:c r="D328" s="43" t="str">
        <x:v>Dabbagh (2005)</x:v>
      </x:c>
      <x:c r="E328" s="43" t="str">
        <x:v>SW5</x:v>
      </x:c>
      <x:c r="F328" s="45" t="n">
        <x:v>3</x:v>
      </x:c>
      <x:c r="G328" s="44" t="str">
        <x:v>Flex-Shear</x:v>
      </x:c>
      <x:c r="H328" s="46" t="n">
        <x:v>1.1</x:v>
      </x:c>
      <x:c r="I328" s="46" t="n">
        <x:v>13.333333333333334</x:v>
      </x:c>
      <x:c r="J328" s="46" t="n">
        <x:v>0.07799999999999999</x:v>
      </x:c>
      <x:c r="K328" s="46" t="n">
        <x:v>0.03228915662650603</x:v>
      </x:c>
      <x:c r="L328" s="46" t="n">
        <x:v>0.41446385542168673</x:v>
      </x:c>
      <x:c r="M328" s="46" t="n">
        <x:v>0.006457831325301205</x:v>
      </x:c>
      <x:c r="N328" s="46" t="n">
        <x:v>0.107095046854083</x:v>
      </x:c>
      <x:c r="O328" s="48" t="str">
        <x:v>F</x:v>
      </x:c>
      <x:c r="P328" s="46" t="n">
        <x:v>0.2777777777777778</x:v>
      </x:c>
      <x:c r="Q328" s="45" t="n">
        <x:v>1</x:v>
      </x:c>
    </x:row>
    <x:row r="329">
      <x:c r="A329" s="45" t="n">
        <x:v>328</x:v>
      </x:c>
      <x:c r="B329" s="45" t="n">
        <x:v>395</x:v>
      </x:c>
      <x:c r="C329" s="45" t="n">
        <x:v>0</x:v>
      </x:c>
      <x:c r="D329" s="43" t="str">
        <x:v>Dabbagh (2005)</x:v>
      </x:c>
      <x:c r="E329" s="43" t="str">
        <x:v>SW6</x:v>
      </x:c>
      <x:c r="F329" s="45" t="n">
        <x:v>3</x:v>
      </x:c>
      <x:c r="G329" s="44" t="str">
        <x:v>Flex-Shear</x:v>
      </x:c>
      <x:c r="H329" s="46" t="n">
        <x:v>1.1</x:v>
      </x:c>
      <x:c r="I329" s="46" t="n">
        <x:v>13.333333333333334</x:v>
      </x:c>
      <x:c r="J329" s="46" t="n">
        <x:v>0.060000000000000005</x:v>
      </x:c>
      <x:c r="K329" s="46" t="n">
        <x:v>0.060000000000000005</x:v>
      </x:c>
      <x:c r="L329" s="46" t="n">
        <x:v>0.41446385542168673</x:v>
      </x:c>
      <x:c r="M329" s="46" t="n">
        <x:v>0.010199999999999999</x:v>
      </x:c>
      <x:c r="N329" s="46" t="n">
        <x:v>0.107095046854083</x:v>
      </x:c>
      <x:c r="O329" s="48" t="str">
        <x:v>F</x:v>
      </x:c>
      <x:c r="P329" s="46" t="n">
        <x:v>0.2777777777777778</x:v>
      </x:c>
      <x:c r="Q329" s="45" t="n">
        <x:v>1</x:v>
      </x:c>
    </x:row>
    <x:row r="330">
      <x:c r="A330" s="45" t="n">
        <x:v>329</x:v>
      </x:c>
      <x:c r="B330" s="45" t="n">
        <x:v>396</x:v>
      </x:c>
      <x:c r="C330" s="45" t="n">
        <x:v>0</x:v>
      </x:c>
      <x:c r="D330" s="43" t="str">
        <x:v>Gebreyohaness et al (2014)</x:v>
      </x:c>
      <x:c r="E330" s="43" t="str">
        <x:v>WPS1</x:v>
      </x:c>
      <x:c r="F330" s="45" t="n">
        <x:v>3</x:v>
      </x:c>
      <x:c r="G330" s="44" t="str">
        <x:v>Flex-Shear</x:v>
      </x:c>
      <x:c r="H330" s="46" t="n">
        <x:v>1.3461538461538463</x:v>
      </x:c>
      <x:c r="I330" s="46" t="n">
        <x:v>8.666666666666666</x:v>
      </x:c>
      <x:c r="J330" s="46" t="n">
        <x:v>0.05760869565217392</x:v>
      </x:c>
      <x:c r="K330" s="46" t="n">
        <x:v>0.051847826086956525</x:v>
      </x:c>
      <x:c r="L330" s="46" t="n">
        <x:v>0</x:v>
      </x:c>
      <x:c r="M330" s="46" t="n">
        <x:v>0</x:v>
      </x:c>
      <x:c r="N330" s="46" t="n">
        <x:v>0.05574136008918618</x:v>
      </x:c>
      <x:c r="O330" s="48" t="str">
        <x:v>R</x:v>
      </x:c>
      <x:c r="P330" s="46" t="n">
        <x:v>0</x:v>
      </x:c>
      <x:c r="Q330" s="45" t="n">
        <x:v>1</x:v>
      </x:c>
    </x:row>
    <x:row r="331">
      <x:c r="A331" s="45" t="n">
        <x:v>330</x:v>
      </x:c>
      <x:c r="B331" s="45" t="n">
        <x:v>397</x:v>
      </x:c>
      <x:c r="C331" s="45" t="n">
        <x:v>0</x:v>
      </x:c>
      <x:c r="D331" s="43" t="str">
        <x:v>Gebreyohaness et al (2014)</x:v>
      </x:c>
      <x:c r="E331" s="43" t="str">
        <x:v>WPS2</x:v>
      </x:c>
      <x:c r="F331" s="45" t="n">
        <x:v>3</x:v>
      </x:c>
      <x:c r="G331" s="44" t="str">
        <x:v>Flex-Shear</x:v>
      </x:c>
      <x:c r="H331" s="46" t="n">
        <x:v>1.3461538461538463</x:v>
      </x:c>
      <x:c r="I331" s="46" t="n">
        <x:v>5.6521739130434785</x:v>
      </x:c>
      <x:c r="J331" s="46" t="n">
        <x:v>0.018660287081339714</x:v>
      </x:c>
      <x:c r="K331" s="46" t="n">
        <x:v>0.01722488038277512</x:v>
      </x:c>
      <x:c r="L331" s="46" t="n">
        <x:v>0</x:v>
      </x:c>
      <x:c r="M331" s="46" t="n">
        <x:v>0</x:v>
      </x:c>
      <x:c r="N331" s="46" t="n">
        <x:v>0.04800691299547135</x:v>
      </x:c>
      <x:c r="O331" s="48" t="str">
        <x:v>R</x:v>
      </x:c>
      <x:c r="P331" s="46" t="n">
        <x:v>0</x:v>
      </x:c>
      <x:c r="Q331" s="45" t="n">
        <x:v>1</x:v>
      </x:c>
    </x:row>
    <x:row r="332">
      <x:c r="A332" s="45" t="n">
        <x:v>331</x:v>
      </x:c>
      <x:c r="B332" s="45" t="n">
        <x:v>398</x:v>
      </x:c>
      <x:c r="C332" s="45" t="n">
        <x:v>0</x:v>
      </x:c>
      <x:c r="D332" s="43" t="str">
        <x:v>Gebreyohaness et al (2014)</x:v>
      </x:c>
      <x:c r="E332" s="43" t="str">
        <x:v>WPS3</x:v>
      </x:c>
      <x:c r="F332" s="45" t="n">
        <x:v>3</x:v>
      </x:c>
      <x:c r="G332" s="44" t="str">
        <x:v>Flex-Shear</x:v>
      </x:c>
      <x:c r="H332" s="46" t="n">
        <x:v>0.9230769230769231</x:v>
      </x:c>
      <x:c r="I332" s="46" t="n">
        <x:v>8.666666666666666</x:v>
      </x:c>
      <x:c r="J332" s="46" t="n">
        <x:v>0.035816326530612244</x:v>
      </x:c>
      <x:c r="K332" s="46" t="n">
        <x:v>0.030443877551020408</x:v>
      </x:c>
      <x:c r="L332" s="46" t="n">
        <x:v>0.27714285714285714</x:v>
      </x:c>
      <x:c r="M332" s="46" t="n">
        <x:v>0</x:v>
      </x:c>
      <x:c r="N332" s="46" t="n">
        <x:v>0</x:v>
      </x:c>
      <x:c r="O332" s="48" t="str">
        <x:v>R</x:v>
      </x:c>
      <x:c r="P332" s="46" t="n">
        <x:v>0</x:v>
      </x:c>
      <x:c r="Q332" s="45" t="n">
        <x:v>1</x:v>
      </x:c>
    </x:row>
    <x:row r="333">
      <x:c r="A333" s="45" t="n">
        <x:v>332</x:v>
      </x:c>
      <x:c r="B333" s="45" t="n">
        <x:v>399</x:v>
      </x:c>
      <x:c r="C333" s="45" t="n">
        <x:v>0</x:v>
      </x:c>
      <x:c r="D333" s="43" t="str">
        <x:v>Gebreyohaness et al (2014)</x:v>
      </x:c>
      <x:c r="E333" s="43" t="str">
        <x:v>WPS4</x:v>
      </x:c>
      <x:c r="F333" s="45" t="n">
        <x:v>2</x:v>
      </x:c>
      <x:c r="G333" s="44" t="str">
        <x:v>Shear</x:v>
      </x:c>
      <x:c r="H333" s="46" t="n">
        <x:v>0.9230769230769231</x:v>
      </x:c>
      <x:c r="I333" s="46" t="n">
        <x:v>5.6521739130434785</x:v>
      </x:c>
      <x:c r="J333" s="46" t="n">
        <x:v>0.028166666666666666</x:v>
      </x:c>
      <x:c r="K333" s="46" t="n">
        <x:v>0.023833333333333335</x:v>
      </x:c>
      <x:c r="L333" s="46" t="n">
        <x:v>0.2635802469135803</x:v>
      </x:c>
      <x:c r="M333" s="46" t="n">
        <x:v>0</x:v>
      </x:c>
      <x:c r="N333" s="46" t="n">
        <x:v>0</x:v>
      </x:c>
      <x:c r="O333" s="48" t="str">
        <x:v>R</x:v>
      </x:c>
      <x:c r="P333" s="46" t="n">
        <x:v>0</x:v>
      </x:c>
      <x:c r="Q333" s="45" t="n">
        <x:v>1</x:v>
      </x:c>
    </x:row>
    <x:row r="334">
      <x:c r="A334" s="45" t="n">
        <x:v>333</x:v>
      </x:c>
      <x:c r="B334" s="45" t="n">
        <x:v>404</x:v>
      </x:c>
      <x:c r="C334" s="45" t="n">
        <x:v>0</x:v>
      </x:c>
      <x:c r="D334" s="43" t="str">
        <x:v>Gebreyohaness et al (2014)</x:v>
      </x:c>
      <x:c r="E334" s="43" t="str">
        <x:v>WPS9</x:v>
      </x:c>
      <x:c r="F334" s="45" t="n">
        <x:v>3</x:v>
      </x:c>
      <x:c r="G334" s="44" t="str">
        <x:v>Flex-Shear</x:v>
      </x:c>
      <x:c r="H334" s="46" t="n">
        <x:v>0.9230769230769231</x:v>
      </x:c>
      <x:c r="I334" s="46" t="n">
        <x:v>8.666666666666666</x:v>
      </x:c>
      <x:c r="J334" s="46" t="n">
        <x:v>0.048514851485148516</x:v>
      </x:c>
      <x:c r="K334" s="46" t="n">
        <x:v>0.04123762376237624</x:v>
      </x:c>
      <x:c r="L334" s="46" t="n">
        <x:v>0.20861386138613863</x:v>
      </x:c>
      <x:c r="M334" s="46" t="n">
        <x:v>0</x:v>
      </x:c>
      <x:c r="N334" s="46" t="n">
        <x:v>0.05077430820005078</x:v>
      </x:c>
      <x:c r="O334" s="48" t="str">
        <x:v>R</x:v>
      </x:c>
      <x:c r="P334" s="46" t="n">
        <x:v>0</x:v>
      </x:c>
      <x:c r="Q334" s="45" t="n">
        <x:v>1</x:v>
      </x:c>
    </x:row>
    <x:row r="335">
      <x:c r="A335" s="45" t="n">
        <x:v>334</x:v>
      </x:c>
      <x:c r="B335" s="45" t="n">
        <x:v>405</x:v>
      </x:c>
      <x:c r="C335" s="45" t="n">
        <x:v>0</x:v>
      </x:c>
      <x:c r="D335" s="43" t="str">
        <x:v>Gebreyohaness et al (2014)</x:v>
      </x:c>
      <x:c r="E335" s="43" t="str">
        <x:v>WPS10</x:v>
      </x:c>
      <x:c r="F335" s="45" t="n">
        <x:v>2</x:v>
      </x:c>
      <x:c r="G335" s="44" t="str">
        <x:v>Shear</x:v>
      </x:c>
      <x:c r="H335" s="46" t="n">
        <x:v>0.9230769230769231</x:v>
      </x:c>
      <x:c r="I335" s="46" t="n">
        <x:v>5.6521739130434785</x:v>
      </x:c>
      <x:c r="J335" s="46" t="n">
        <x:v>0.03300518134715026</x:v>
      </x:c>
      <x:c r="K335" s="46" t="n">
        <x:v>0.027927461139896373</x:v>
      </x:c>
      <x:c r="L335" s="46" t="n">
        <x:v>0.21834196891191712</x:v>
      </x:c>
      <x:c r="M335" s="46" t="n">
        <x:v>0</x:v>
      </x:c>
      <x:c r="N335" s="46" t="n">
        <x:v>0.051986760704940474</x:v>
      </x:c>
      <x:c r="O335" s="48" t="str">
        <x:v>R</x:v>
      </x:c>
      <x:c r="P335" s="46" t="n">
        <x:v>0</x:v>
      </x:c>
      <x:c r="Q335" s="45" t="n">
        <x:v>1</x:v>
      </x:c>
    </x:row>
    <x:row r="336">
      <x:c r="A336" s="45" t="n">
        <x:v>335</x:v>
      </x:c>
      <x:c r="B336" s="45" t="n">
        <x:v>406</x:v>
      </x:c>
      <x:c r="C336" s="45" t="n">
        <x:v>0</x:v>
      </x:c>
      <x:c r="D336" s="43" t="str">
        <x:v>Gebreyohaness et al (2014)</x:v>
      </x:c>
      <x:c r="E336" s="43" t="str">
        <x:v>WSS1</x:v>
      </x:c>
      <x:c r="F336" s="45" t="n">
        <x:v>3</x:v>
      </x:c>
      <x:c r="G336" s="44" t="str">
        <x:v>Flex-Shear</x:v>
      </x:c>
      <x:c r="H336" s="46" t="n">
        <x:v>0.8</x:v>
      </x:c>
      <x:c r="I336" s="46" t="n">
        <x:v>6.666666666666667</x:v>
      </x:c>
      <x:c r="J336" s="46" t="n">
        <x:v>0.03754010695187166</x:v>
      </x:c>
      <x:c r="K336" s="46" t="n">
        <x:v>0.03754010695187166</x:v>
      </x:c>
      <x:c r="L336" s="46" t="n">
        <x:v>0.24032085561497327</x:v>
      </x:c>
      <x:c r="M336" s="46" t="n">
        <x:v>0</x:v>
      </x:c>
      <x:c r="N336" s="46" t="n">
        <x:v>0</x:v>
      </x:c>
      <x:c r="O336" s="48" t="str">
        <x:v>R</x:v>
      </x:c>
      <x:c r="P336" s="46" t="n">
        <x:v>0</x:v>
      </x:c>
      <x:c r="Q336" s="45" t="n">
        <x:v>1</x:v>
      </x:c>
    </x:row>
    <x:row r="337">
      <x:c r="A337" s="45" t="n">
        <x:v>336</x:v>
      </x:c>
      <x:c r="B337" s="45" t="n">
        <x:v>407</x:v>
      </x:c>
      <x:c r="C337" s="45" t="n">
        <x:v>0</x:v>
      </x:c>
      <x:c r="D337" s="43" t="str">
        <x:v>Gebreyohaness et al (2014)</x:v>
      </x:c>
      <x:c r="E337" s="43" t="str">
        <x:v>WSS2</x:v>
      </x:c>
      <x:c r="F337" s="45" t="n">
        <x:v>3</x:v>
      </x:c>
      <x:c r="G337" s="44" t="str">
        <x:v>Flex-Shear</x:v>
      </x:c>
      <x:c r="H337" s="46" t="n">
        <x:v>0.8</x:v>
      </x:c>
      <x:c r="I337" s="46" t="n">
        <x:v>4.3478260869565215</x:v>
      </x:c>
      <x:c r="J337" s="46" t="n">
        <x:v>0.021322429906542057</x:v>
      </x:c>
      <x:c r="K337" s="46" t="n">
        <x:v>0.021322429906542057</x:v>
      </x:c>
      <x:c r="L337" s="46" t="n">
        <x:v>0.21</x:v>
      </x:c>
      <x:c r="M337" s="46" t="n">
        <x:v>0</x:v>
      </x:c>
      <x:c r="N337" s="46" t="n">
        <x:v>0</x:v>
      </x:c>
      <x:c r="O337" s="48" t="str">
        <x:v>R</x:v>
      </x:c>
      <x:c r="P337" s="46" t="n">
        <x:v>0</x:v>
      </x:c>
      <x:c r="Q337" s="45" t="n">
        <x:v>1</x:v>
      </x:c>
    </x:row>
    <x:row r="338">
      <x:c r="A338" s="45" t="n">
        <x:v>337</x:v>
      </x:c>
      <x:c r="B338" s="45" t="n">
        <x:v>408</x:v>
      </x:c>
      <x:c r="C338" s="45" t="n">
        <x:v>0</x:v>
      </x:c>
      <x:c r="D338" s="43" t="str">
        <x:v>Jiang et al. (2013)</x:v>
      </x:c>
      <x:c r="E338" s="43" t="str">
        <x:v>SW1</x:v>
      </x:c>
      <x:c r="F338" s="45" t="n">
        <x:v>1</x:v>
      </x:c>
      <x:c r="G338" s="44" t="str">
        <x:v>Flexural</x:v>
      </x:c>
      <x:c r="H338" s="46" t="n">
        <x:v>2</x:v>
      </x:c>
      <x:c r="I338" s="46" t="n">
        <x:v>10</x:v>
      </x:c>
      <x:c r="J338" s="46" t="n">
        <x:v>0.10258285714285713</x:v>
      </x:c>
      <x:c r="K338" s="46" t="n">
        <x:v>0.10609500000000001</x:v>
      </x:c>
      <x:c r="L338" s="46" t="n">
        <x:v>0.1942857142857143</x:v>
      </x:c>
      <x:c r="M338" s="46" t="n">
        <x:v>0.35686500000000004</x:v>
      </x:c>
      <x:c r="N338" s="46" t="n">
        <x:v>0.1</x:v>
      </x:c>
      <x:c r="O338" s="48" t="str">
        <x:v>F</x:v>
      </x:c>
      <x:c r="P338" s="46" t="n">
        <x:v>0.2777777777777778</x:v>
      </x:c>
      <x:c r="Q338" s="45" t="n">
        <x:v>1</x:v>
      </x:c>
    </x:row>
    <x:row r="339">
      <x:c r="A339" s="45" t="n">
        <x:v>338</x:v>
      </x:c>
      <x:c r="B339" s="45" t="n">
        <x:v>409</x:v>
      </x:c>
      <x:c r="C339" s="45" t="n">
        <x:v>0</x:v>
      </x:c>
      <x:c r="D339" s="43" t="str">
        <x:v>Jiang et al. (2013)</x:v>
      </x:c>
      <x:c r="E339" s="43" t="str">
        <x:v>SW2</x:v>
      </x:c>
      <x:c r="F339" s="45" t="n">
        <x:v>1</x:v>
      </x:c>
      <x:c r="G339" s="44" t="str">
        <x:v>Flexural</x:v>
      </x:c>
      <x:c r="H339" s="46" t="n">
        <x:v>2</x:v>
      </x:c>
      <x:c r="I339" s="46" t="n">
        <x:v>10</x:v>
      </x:c>
      <x:c r="J339" s="46" t="n">
        <x:v>0.10258285714285713</x:v>
      </x:c>
      <x:c r="K339" s="46" t="n">
        <x:v>0.10609500000000001</x:v>
      </x:c>
      <x:c r="L339" s="46" t="n">
        <x:v>0.1942857142857143</x:v>
      </x:c>
      <x:c r="M339" s="46" t="n">
        <x:v>0.35686500000000004</x:v>
      </x:c>
      <x:c r="N339" s="46" t="n">
        <x:v>0.2</x:v>
      </x:c>
      <x:c r="O339" s="48" t="str">
        <x:v>F</x:v>
      </x:c>
      <x:c r="P339" s="46" t="n">
        <x:v>0.2777777777777778</x:v>
      </x:c>
      <x:c r="Q339" s="45" t="n">
        <x:v>1</x:v>
      </x:c>
    </x:row>
    <x:row r="340">
      <x:c r="A340" s="45" t="n">
        <x:v>339</x:v>
      </x:c>
      <x:c r="B340" s="45" t="n">
        <x:v>410</x:v>
      </x:c>
      <x:c r="C340" s="45" t="n">
        <x:v>0</x:v>
      </x:c>
      <x:c r="D340" s="43" t="str">
        <x:v>Jiang et al. (2013)</x:v>
      </x:c>
      <x:c r="E340" s="43" t="str">
        <x:v>SW3</x:v>
      </x:c>
      <x:c r="F340" s="45" t="n">
        <x:v>1</x:v>
      </x:c>
      <x:c r="G340" s="44" t="str">
        <x:v>Flexural</x:v>
      </x:c>
      <x:c r="H340" s="46" t="n">
        <x:v>2</x:v>
      </x:c>
      <x:c r="I340" s="46" t="n">
        <x:v>10</x:v>
      </x:c>
      <x:c r="J340" s="46" t="n">
        <x:v>0.10258285714285713</x:v>
      </x:c>
      <x:c r="K340" s="46" t="n">
        <x:v>0.10609500000000001</x:v>
      </x:c>
      <x:c r="L340" s="46" t="n">
        <x:v>0.1942857142857143</x:v>
      </x:c>
      <x:c r="M340" s="46" t="n">
        <x:v>0.35686500000000004</x:v>
      </x:c>
      <x:c r="N340" s="46" t="n">
        <x:v>0.3</x:v>
      </x:c>
      <x:c r="O340" s="48" t="str">
        <x:v>F</x:v>
      </x:c>
      <x:c r="P340" s="46" t="n">
        <x:v>0.2777777777777778</x:v>
      </x:c>
      <x:c r="Q340" s="45" t="n">
        <x:v>1</x:v>
      </x:c>
    </x:row>
    <x:row r="341">
      <x:c r="A341" s="45" t="n">
        <x:v>340</x:v>
      </x:c>
      <x:c r="B341" s="45" t="n">
        <x:v>411</x:v>
      </x:c>
      <x:c r="C341" s="45" t="n">
        <x:v>0</x:v>
      </x:c>
      <x:c r="D341" s="43" t="str">
        <x:v>Jiang et al. (2013)</x:v>
      </x:c>
      <x:c r="E341" s="43" t="str">
        <x:v>SW4</x:v>
      </x:c>
      <x:c r="F341" s="45" t="n">
        <x:v>1</x:v>
      </x:c>
      <x:c r="G341" s="44" t="str">
        <x:v>Flexural</x:v>
      </x:c>
      <x:c r="H341" s="46" t="n">
        <x:v>2</x:v>
      </x:c>
      <x:c r="I341" s="46" t="n">
        <x:v>10</x:v>
      </x:c>
      <x:c r="J341" s="46" t="n">
        <x:v>0.10258285714285713</x:v>
      </x:c>
      <x:c r="K341" s="46" t="n">
        <x:v>0.10609500000000001</x:v>
      </x:c>
      <x:c r="L341" s="46" t="n">
        <x:v>0.1942857142857143</x:v>
      </x:c>
      <x:c r="M341" s="46" t="n">
        <x:v>0.5417275</x:v>
      </x:c>
      <x:c r="N341" s="46" t="n">
        <x:v>0.3</x:v>
      </x:c>
      <x:c r="O341" s="48" t="str">
        <x:v>F</x:v>
      </x:c>
      <x:c r="P341" s="46" t="n">
        <x:v>0.2777777777777778</x:v>
      </x:c>
      <x:c r="Q341" s="45" t="n">
        <x:v>1</x:v>
      </x:c>
    </x:row>
    <x:row r="342">
      <x:c r="A342" s="45" t="n">
        <x:v>341</x:v>
      </x:c>
      <x:c r="B342" s="45" t="n">
        <x:v>412</x:v>
      </x:c>
      <x:c r="C342" s="45" t="n">
        <x:v>0</x:v>
      </x:c>
      <x:c r="D342" s="43" t="str">
        <x:v>Jiang et al. (2013)</x:v>
      </x:c>
      <x:c r="E342" s="43" t="str">
        <x:v>SW5</x:v>
      </x:c>
      <x:c r="F342" s="45" t="n">
        <x:v>1</x:v>
      </x:c>
      <x:c r="G342" s="44" t="str">
        <x:v>Flexural</x:v>
      </x:c>
      <x:c r="H342" s="46" t="n">
        <x:v>2</x:v>
      </x:c>
      <x:c r="I342" s="46" t="n">
        <x:v>10</x:v>
      </x:c>
      <x:c r="J342" s="46" t="n">
        <x:v>0.10258285714285713</x:v>
      </x:c>
      <x:c r="K342" s="46" t="n">
        <x:v>0.10609500000000001</x:v>
      </x:c>
      <x:c r="L342" s="46" t="n">
        <x:v>0.1942857142857143</x:v>
      </x:c>
      <x:c r="M342" s="46" t="n">
        <x:v>0.17843250000000002</x:v>
      </x:c>
      <x:c r="N342" s="46" t="n">
        <x:v>0.3</x:v>
      </x:c>
      <x:c r="O342" s="48" t="str">
        <x:v>F</x:v>
      </x:c>
      <x:c r="P342" s="46" t="n">
        <x:v>0.2777777777777778</x:v>
      </x:c>
      <x:c r="Q342" s="45" t="n">
        <x:v>1</x:v>
      </x:c>
    </x:row>
    <x:row r="343">
      <x:c r="A343" s="45" t="n">
        <x:v>342</x:v>
      </x:c>
      <x:c r="B343" s="45" t="n">
        <x:v>413</x:v>
      </x:c>
      <x:c r="C343" s="45" t="n">
        <x:v>0</x:v>
      </x:c>
      <x:c r="D343" s="43" t="str">
        <x:v>Jiang et al. (2013)</x:v>
      </x:c>
      <x:c r="E343" s="43" t="str">
        <x:v>SW7</x:v>
      </x:c>
      <x:c r="F343" s="45" t="n">
        <x:v>1</x:v>
      </x:c>
      <x:c r="G343" s="44" t="str">
        <x:v>Flexural</x:v>
      </x:c>
      <x:c r="H343" s="46" t="n">
        <x:v>2</x:v>
      </x:c>
      <x:c r="I343" s="46" t="n">
        <x:v>10</x:v>
      </x:c>
      <x:c r="J343" s="46" t="n">
        <x:v>0.10258285714285713</x:v>
      </x:c>
      <x:c r="K343" s="46" t="n">
        <x:v>0.10609500000000001</x:v>
      </x:c>
      <x:c r="L343" s="46" t="n">
        <x:v>0.23469714285714288</x:v>
      </x:c>
      <x:c r="M343" s="46" t="n">
        <x:v>0.4420625</x:v>
      </x:c>
      <x:c r="N343" s="46" t="n">
        <x:v>0.3</x:v>
      </x:c>
      <x:c r="O343" s="48" t="str">
        <x:v>R</x:v>
      </x:c>
      <x:c r="P343" s="46" t="n">
        <x:v>0</x:v>
      </x:c>
      <x:c r="Q343" s="45" t="n">
        <x:v>1</x:v>
      </x:c>
    </x:row>
    <x:row r="344">
      <x:c r="A344" s="45" t="n">
        <x:v>343</x:v>
      </x:c>
      <x:c r="B344" s="45" t="n">
        <x:v>414</x:v>
      </x:c>
      <x:c r="C344" s="45" t="n">
        <x:v>0</x:v>
      </x:c>
      <x:c r="D344" s="43" t="str">
        <x:v>Kuang and Ho (2008)</x:v>
      </x:c>
      <x:c r="E344" s="43" t="str">
        <x:v>U1.0</x:v>
      </x:c>
      <x:c r="F344" s="45" t="n">
        <x:v>1</x:v>
      </x:c>
      <x:c r="G344" s="44" t="str">
        <x:v>Flexural</x:v>
      </x:c>
      <x:c r="H344" s="46" t="n">
        <x:v>1</x:v>
      </x:c>
      <x:c r="I344" s="46" t="n">
        <x:v>12</x:v>
      </x:c>
      <x:c r="J344" s="46" t="n">
        <x:v>0</x:v>
      </x:c>
      <x:c r="K344" s="46" t="n">
        <x:v>0.17960526315789474</x:v>
      </x:c>
      <x:c r="L344" s="46" t="n">
        <x:v>0.15736842105263157</x:v>
      </x:c>
      <x:c r="M344" s="46" t="n">
        <x:v>0</x:v>
      </x:c>
      <x:c r="N344" s="46" t="n">
        <x:v>0</x:v>
      </x:c>
      <x:c r="O344" s="48" t="str">
        <x:v>R</x:v>
      </x:c>
      <x:c r="P344" s="46" t="n">
        <x:v>0</x:v>
      </x:c>
      <x:c r="Q344" s="45" t="n">
        <x:v>1</x:v>
      </x:c>
    </x:row>
    <x:row r="345">
      <x:c r="A345" s="45" t="n">
        <x:v>344</x:v>
      </x:c>
      <x:c r="B345" s="45" t="n">
        <x:v>415</x:v>
      </x:c>
      <x:c r="C345" s="45" t="n">
        <x:v>0</x:v>
      </x:c>
      <x:c r="D345" s="43" t="str">
        <x:v>Kuang and Ho (2008)</x:v>
      </x:c>
      <x:c r="E345" s="43" t="str">
        <x:v>U1.5</x:v>
      </x:c>
      <x:c r="F345" s="45" t="n">
        <x:v>1</x:v>
      </x:c>
      <x:c r="G345" s="44" t="str">
        <x:v>Flexural</x:v>
      </x:c>
      <x:c r="H345" s="46" t="n">
        <x:v>1.5</x:v>
      </x:c>
      <x:c r="I345" s="46" t="n">
        <x:v>12</x:v>
      </x:c>
      <x:c r="J345" s="46" t="n">
        <x:v>0</x:v>
      </x:c>
      <x:c r="K345" s="46" t="n">
        <x:v>0.15644699140401147</x:v>
      </x:c>
      <x:c r="L345" s="46" t="n">
        <x:v>0.13707736389684813</x:v>
      </x:c>
      <x:c r="M345" s="46" t="n">
        <x:v>0</x:v>
      </x:c>
      <x:c r="N345" s="46" t="n">
        <x:v>0</x:v>
      </x:c>
      <x:c r="O345" s="48" t="str">
        <x:v>R</x:v>
      </x:c>
      <x:c r="P345" s="46" t="n">
        <x:v>0</x:v>
      </x:c>
      <x:c r="Q345" s="45" t="n">
        <x:v>1</x:v>
      </x:c>
    </x:row>
    <x:row r="346">
      <x:c r="A346" s="45" t="n">
        <x:v>345</x:v>
      </x:c>
      <x:c r="B346" s="45" t="n">
        <x:v>416</x:v>
      </x:c>
      <x:c r="C346" s="45" t="n">
        <x:v>0</x:v>
      </x:c>
      <x:c r="D346" s="43" t="str">
        <x:v>Kuang and Ho (2008)</x:v>
      </x:c>
      <x:c r="E346" s="43" t="str">
        <x:v>C1.0</x:v>
      </x:c>
      <x:c r="F346" s="45" t="n">
        <x:v>1</x:v>
      </x:c>
      <x:c r="G346" s="44" t="str">
        <x:v>Flexural</x:v>
      </x:c>
      <x:c r="H346" s="46" t="n">
        <x:v>1</x:v>
      </x:c>
      <x:c r="I346" s="46" t="n">
        <x:v>12</x:v>
      </x:c>
      <x:c r="J346" s="46" t="n">
        <x:v>0</x:v>
      </x:c>
      <x:c r="K346" s="46" t="n">
        <x:v>0.15511363636363634</x:v>
      </x:c>
      <x:c r="L346" s="46" t="n">
        <x:v>0.32499999999999996</x:v>
      </x:c>
      <x:c r="M346" s="46" t="n">
        <x:v>0</x:v>
      </x:c>
      <x:c r="N346" s="46" t="n">
        <x:v>0</x:v>
      </x:c>
      <x:c r="O346" s="48" t="str">
        <x:v>R</x:v>
      </x:c>
      <x:c r="P346" s="46" t="n">
        <x:v>0</x:v>
      </x:c>
      <x:c r="Q346" s="45" t="n">
        <x:v>1</x:v>
      </x:c>
    </x:row>
    <x:row r="347">
      <x:c r="A347" s="45" t="n">
        <x:v>346</x:v>
      </x:c>
      <x:c r="B347" s="45" t="n">
        <x:v>417</x:v>
      </x:c>
      <x:c r="C347" s="45" t="n">
        <x:v>0</x:v>
      </x:c>
      <x:c r="D347" s="43" t="str">
        <x:v>Kuang and Ho (2008)</x:v>
      </x:c>
      <x:c r="E347" s="43" t="str">
        <x:v>C1.5</x:v>
      </x:c>
      <x:c r="F347" s="45" t="n">
        <x:v>1</x:v>
      </x:c>
      <x:c r="G347" s="44" t="str">
        <x:v>Flexural</x:v>
      </x:c>
      <x:c r="H347" s="46" t="n">
        <x:v>1.5</x:v>
      </x:c>
      <x:c r="I347" s="46" t="n">
        <x:v>12</x:v>
      </x:c>
      <x:c r="J347" s="46" t="n">
        <x:v>0</x:v>
      </x:c>
      <x:c r="K347" s="46" t="n">
        <x:v>0.15964912280701754</x:v>
      </x:c>
      <x:c r="L347" s="46" t="n">
        <x:v>0.33450292397660814</x:v>
      </x:c>
      <x:c r="M347" s="46" t="n">
        <x:v>0</x:v>
      </x:c>
      <x:c r="N347" s="46" t="n">
        <x:v>0</x:v>
      </x:c>
      <x:c r="O347" s="48" t="str">
        <x:v>R</x:v>
      </x:c>
      <x:c r="P347" s="46" t="n">
        <x:v>0</x:v>
      </x:c>
      <x:c r="Q347" s="45" t="n">
        <x:v>1</x:v>
      </x:c>
    </x:row>
    <x:row r="348">
      <x:c r="A348" s="45" t="n">
        <x:v>347</x:v>
      </x:c>
      <x:c r="B348" s="45" t="n">
        <x:v>418</x:v>
      </x:c>
      <x:c r="C348" s="45" t="n">
        <x:v>0</x:v>
      </x:c>
      <x:c r="D348" s="43" t="str">
        <x:v>Kuang and Ho (2008)</x:v>
      </x:c>
      <x:c r="E348" s="43" t="str">
        <x:v>U1.0-BC</x:v>
      </x:c>
      <x:c r="F348" s="45" t="n">
        <x:v>1</x:v>
      </x:c>
      <x:c r="G348" s="44" t="str">
        <x:v>Flexural</x:v>
      </x:c>
      <x:c r="H348" s="46" t="n">
        <x:v>1</x:v>
      </x:c>
      <x:c r="I348" s="46" t="n">
        <x:v>12</x:v>
      </x:c>
      <x:c r="J348" s="46" t="n">
        <x:v>0</x:v>
      </x:c>
      <x:c r="K348" s="46" t="n">
        <x:v>0.17444089456869008</x:v>
      </x:c>
      <x:c r="L348" s="46" t="n">
        <x:v>0.15284345047923323</x:v>
      </x:c>
      <x:c r="M348" s="46" t="n">
        <x:v>0.34888178913738016</x:v>
      </x:c>
      <x:c r="N348" s="46" t="n">
        <x:v>0</x:v>
      </x:c>
      <x:c r="O348" s="48" t="str">
        <x:v>R</x:v>
      </x:c>
      <x:c r="P348" s="46" t="n">
        <x:v>0</x:v>
      </x:c>
      <x:c r="Q348" s="45" t="n">
        <x:v>1</x:v>
      </x:c>
    </x:row>
    <x:row r="349">
      <x:c r="A349" s="45" t="n">
        <x:v>348</x:v>
      </x:c>
      <x:c r="B349" s="45" t="n">
        <x:v>419</x:v>
      </x:c>
      <x:c r="C349" s="45" t="n">
        <x:v>0</x:v>
      </x:c>
      <x:c r="D349" s="43" t="str">
        <x:v>Kuang and Ho (2008)</x:v>
      </x:c>
      <x:c r="E349" s="43" t="str">
        <x:v>U1.5-BC</x:v>
      </x:c>
      <x:c r="F349" s="45" t="n">
        <x:v>1</x:v>
      </x:c>
      <x:c r="G349" s="44" t="str">
        <x:v>Flexural</x:v>
      </x:c>
      <x:c r="H349" s="46" t="n">
        <x:v>1.5</x:v>
      </x:c>
      <x:c r="I349" s="46" t="n">
        <x:v>12</x:v>
      </x:c>
      <x:c r="J349" s="46" t="n">
        <x:v>0</x:v>
      </x:c>
      <x:c r="K349" s="46" t="n">
        <x:v>0.16153846153846155</x:v>
      </x:c>
      <x:c r="L349" s="46" t="n">
        <x:v>0.14153846153846156</x:v>
      </x:c>
      <x:c r="M349" s="46" t="n">
        <x:v>0.3230769230769231</x:v>
      </x:c>
      <x:c r="N349" s="46" t="n">
        <x:v>0</x:v>
      </x:c>
      <x:c r="O349" s="48" t="str">
        <x:v>R</x:v>
      </x:c>
      <x:c r="P349" s="46" t="n">
        <x:v>0</x:v>
      </x:c>
      <x:c r="Q349" s="45" t="n">
        <x:v>1</x:v>
      </x:c>
    </x:row>
    <x:row r="350">
      <x:c r="A350" s="45" t="n">
        <x:v>349</x:v>
      </x:c>
      <x:c r="B350" s="45" t="n">
        <x:v>420</x:v>
      </x:c>
      <x:c r="C350" s="45" t="n">
        <x:v>0</x:v>
      </x:c>
      <x:c r="D350" s="43" t="str">
        <x:v>Kuang and Ho (2008)</x:v>
      </x:c>
      <x:c r="E350" s="43" t="str">
        <x:v>U1.0-BC2</x:v>
      </x:c>
      <x:c r="F350" s="45" t="n">
        <x:v>1</x:v>
      </x:c>
      <x:c r="G350" s="44" t="str">
        <x:v>Flexural</x:v>
      </x:c>
      <x:c r="H350" s="46" t="n">
        <x:v>1</x:v>
      </x:c>
      <x:c r="I350" s="46" t="n">
        <x:v>12</x:v>
      </x:c>
      <x:c r="J350" s="46" t="n">
        <x:v>0</x:v>
      </x:c>
      <x:c r="K350" s="46" t="n">
        <x:v>0.1601173020527859</x:v>
      </x:c>
      <x:c r="L350" s="46" t="n">
        <x:v>0.1402932551319648</x:v>
      </x:c>
      <x:c r="M350" s="46" t="n">
        <x:v>0.3202346041055718</x:v>
      </x:c>
      <x:c r="N350" s="46" t="n">
        <x:v>0</x:v>
      </x:c>
      <x:c r="O350" s="48" t="str">
        <x:v>R</x:v>
      </x:c>
      <x:c r="P350" s="46" t="n">
        <x:v>0</x:v>
      </x:c>
      <x:c r="Q350" s="45" t="n">
        <x:v>1</x:v>
      </x:c>
    </x:row>
    <x:row r="351">
      <x:c r="A351" s="45" t="n">
        <x:v>350</x:v>
      </x:c>
      <x:c r="B351" s="45" t="n">
        <x:v>421</x:v>
      </x:c>
      <x:c r="C351" s="45" t="n">
        <x:v>0</x:v>
      </x:c>
      <x:c r="D351" s="43" t="str">
        <x:v>Kuang and Ho (2008)</x:v>
      </x:c>
      <x:c r="E351" s="43" t="str">
        <x:v>U1.0-CT</x:v>
      </x:c>
      <x:c r="F351" s="45" t="n">
        <x:v>1</x:v>
      </x:c>
      <x:c r="G351" s="44" t="str">
        <x:v>Flexural</x:v>
      </x:c>
      <x:c r="H351" s="46" t="n">
        <x:v>1</x:v>
      </x:c>
      <x:c r="I351" s="46" t="n">
        <x:v>12</x:v>
      </x:c>
      <x:c r="J351" s="46" t="n">
        <x:v>0</x:v>
      </x:c>
      <x:c r="K351" s="46" t="n">
        <x:v>0.14482758620689654</x:v>
      </x:c>
      <x:c r="L351" s="46" t="n">
        <x:v>0.1268965517241379</x:v>
      </x:c>
      <x:c r="M351" s="46" t="n">
        <x:v>0</x:v>
      </x:c>
      <x:c r="N351" s="46" t="n">
        <x:v>0</x:v>
      </x:c>
      <x:c r="O351" s="48" t="str">
        <x:v>R</x:v>
      </x:c>
      <x:c r="P351" s="46" t="n">
        <x:v>0</x:v>
      </x:c>
      <x:c r="Q351" s="45" t="n">
        <x:v>1</x:v>
      </x:c>
    </x:row>
    <x:row r="352">
      <x:c r="A352" s="45" t="n">
        <x:v>351</x:v>
      </x:c>
      <x:c r="B352" s="45" t="n">
        <x:v>422</x:v>
      </x:c>
      <x:c r="C352" s="45" t="n">
        <x:v>0</x:v>
      </x:c>
      <x:c r="D352" s="43" t="str">
        <x:v>Gupta and Rangan (1998)</x:v>
      </x:c>
      <x:c r="E352" s="43" t="str">
        <x:v>S-F</x:v>
      </x:c>
      <x:c r="F352" s="45" t="n">
        <x:v>1</x:v>
      </x:c>
      <x:c r="G352" s="44" t="str">
        <x:v>Flexural</x:v>
      </x:c>
      <x:c r="H352" s="46" t="n">
        <x:v>1.1</x:v>
      </x:c>
      <x:c r="I352" s="46" t="n">
        <x:v>13.333333333333334</x:v>
      </x:c>
      <x:c r="J352" s="46" t="n">
        <x:v>0.07134545454545455</x:v>
      </x:c>
      <x:c r="K352" s="46" t="n">
        <x:v>0.0499341046831956</x:v>
      </x:c>
      <x:c r="L352" s="46" t="n">
        <x:v>0.060328550964187336</x:v>
      </x:c>
      <x:c r="M352" s="46" t="n">
        <x:v>0.02439348979303502</x:v>
      </x:c>
      <x:c r="N352" s="46" t="n">
        <x:v>0</x:v>
      </x:c>
      <x:c r="O352" s="48" t="str">
        <x:v>F</x:v>
      </x:c>
      <x:c r="P352" s="46" t="n">
        <x:v>0.2777777777777778</x:v>
      </x:c>
      <x:c r="Q352" s="45" t="n">
        <x:v>1</x:v>
      </x:c>
    </x:row>
    <x:row r="353">
      <x:c r="A353" s="45" t="n">
        <x:v>352</x:v>
      </x:c>
      <x:c r="B353" s="45" t="n">
        <x:v>423</x:v>
      </x:c>
      <x:c r="C353" s="45" t="n">
        <x:v>0</x:v>
      </x:c>
      <x:c r="D353" s="43" t="str">
        <x:v>Gupta and Rangan (1998)</x:v>
      </x:c>
      <x:c r="E353" s="43" t="str">
        <x:v>S-1</x:v>
      </x:c>
      <x:c r="F353" s="45" t="n">
        <x:v>3</x:v>
      </x:c>
      <x:c r="G353" s="44" t="str">
        <x:v>Flex-Shear</x:v>
      </x:c>
      <x:c r="H353" s="46" t="n">
        <x:v>1.1</x:v>
      </x:c>
      <x:c r="I353" s="46" t="n">
        <x:v>13.333333333333334</x:v>
      </x:c>
      <x:c r="J353" s="46" t="n">
        <x:v>0.0544312736443884</x:v>
      </x:c>
      <x:c r="K353" s="46" t="n">
        <x:v>0.03809600672551493</x:v>
      </x:c>
      <x:c r="L353" s="46" t="n">
        <x:v>0.08657688104245483</x:v>
      </x:c>
      <x:c r="M353" s="46" t="n">
        <x:v>0.018610417811836304</x:v>
      </x:c>
      <x:c r="N353" s="46" t="n">
        <x:v>0.05698005698005698</x:v>
      </x:c>
      <x:c r="O353" s="48" t="str">
        <x:v>F</x:v>
      </x:c>
      <x:c r="P353" s="46" t="n">
        <x:v>0.2777777777777778</x:v>
      </x:c>
      <x:c r="Q353" s="45" t="n">
        <x:v>1</x:v>
      </x:c>
    </x:row>
    <x:row r="354">
      <x:c r="A354" s="45" t="n">
        <x:v>353</x:v>
      </x:c>
      <x:c r="B354" s="45" t="n">
        <x:v>424</x:v>
      </x:c>
      <x:c r="C354" s="45" t="n">
        <x:v>0</x:v>
      </x:c>
      <x:c r="D354" s="43" t="str">
        <x:v>Gupta and Rangan (1998)</x:v>
      </x:c>
      <x:c r="E354" s="43" t="str">
        <x:v>S-2</x:v>
      </x:c>
      <x:c r="F354" s="45" t="n">
        <x:v>3</x:v>
      </x:c>
      <x:c r="G354" s="44" t="str">
        <x:v>Flex-Shear</x:v>
      </x:c>
      <x:c r="H354" s="46" t="n">
        <x:v>1.1</x:v>
      </x:c>
      <x:c r="I354" s="46" t="n">
        <x:v>13.333333333333334</x:v>
      </x:c>
      <x:c r="J354" s="46" t="n">
        <x:v>0.0663041474654378</x:v>
      </x:c>
      <x:c r="K354" s="46" t="n">
        <x:v>0.0464057347670251</x:v>
      </x:c>
      <x:c r="L354" s="46" t="n">
        <x:v>0.14475289298515104</x:v>
      </x:c>
      <x:c r="M354" s="46" t="n">
        <x:v>0.022669833064187694</x:v>
      </x:c>
      <x:c r="N354" s="46" t="n">
        <x:v>0.13995562382659157</x:v>
      </x:c>
      <x:c r="O354" s="48" t="str">
        <x:v>F</x:v>
      </x:c>
      <x:c r="P354" s="46" t="n">
        <x:v>0.2777777777777778</x:v>
      </x:c>
      <x:c r="Q354" s="45" t="n">
        <x:v>1</x:v>
      </x:c>
    </x:row>
    <x:row r="355">
      <x:c r="A355" s="45" t="n">
        <x:v>354</x:v>
      </x:c>
      <x:c r="B355" s="45" t="n">
        <x:v>425</x:v>
      </x:c>
      <x:c r="C355" s="45" t="n">
        <x:v>0</x:v>
      </x:c>
      <x:c r="D355" s="43" t="str">
        <x:v>Gupta and Rangan (1998)</x:v>
      </x:c>
      <x:c r="E355" s="43" t="str">
        <x:v>S-3</x:v>
      </x:c>
      <x:c r="F355" s="45" t="n">
        <x:v>3</x:v>
      </x:c>
      <x:c r="G355" s="44" t="str">
        <x:v>Flex-Shear</x:v>
      </x:c>
      <x:c r="H355" s="46" t="n">
        <x:v>1.1</x:v>
      </x:c>
      <x:c r="I355" s="46" t="n">
        <x:v>13.333333333333334</x:v>
      </x:c>
      <x:c r="J355" s="46" t="n">
        <x:v>0.06255652173913043</x:v>
      </x:c>
      <x:c r="K355" s="46" t="n">
        <x:v>0.04378280193236716</x:v>
      </x:c>
      <x:c r="L355" s="46" t="n">
        <x:v>0.16963980676328505</x:v>
      </x:c>
      <x:c r="M355" s="46" t="n">
        <x:v>0.02138849467360317</x:v>
      </x:c>
      <x:c r="N355" s="46" t="n">
        <x:v>0</x:v>
      </x:c>
      <x:c r="O355" s="48" t="str">
        <x:v>F</x:v>
      </x:c>
      <x:c r="P355" s="46" t="n">
        <x:v>0.2777777777777778</x:v>
      </x:c>
      <x:c r="Q355" s="45" t="n">
        <x:v>1</x:v>
      </x:c>
    </x:row>
    <x:row r="356">
      <x:c r="A356" s="45" t="n">
        <x:v>355</x:v>
      </x:c>
      <x:c r="B356" s="45" t="n">
        <x:v>426</x:v>
      </x:c>
      <x:c r="C356" s="45" t="n">
        <x:v>0</x:v>
      </x:c>
      <x:c r="D356" s="43" t="str">
        <x:v>Gupta and Rangan (1998)</x:v>
      </x:c>
      <x:c r="E356" s="43" t="str">
        <x:v>S-4</x:v>
      </x:c>
      <x:c r="F356" s="45" t="n">
        <x:v>3</x:v>
      </x:c>
      <x:c r="G356" s="44" t="str">
        <x:v>Flex-Shear</x:v>
      </x:c>
      <x:c r="H356" s="46" t="n">
        <x:v>1.1</x:v>
      </x:c>
      <x:c r="I356" s="46" t="n">
        <x:v>13.333333333333334</x:v>
      </x:c>
      <x:c r="J356" s="46" t="n">
        <x:v>0.09491716312056739</x:v>
      </x:c>
      <x:c r="K356" s="46" t="n">
        <x:v>0.04017304964539008</x:v>
      </x:c>
      <x:c r="L356" s="46" t="n">
        <x:v>0.13061509219858156</x:v>
      </x:c>
      <x:c r="M356" s="46" t="n">
        <x:v>0.019625081548917803</x:v>
      </x:c>
      <x:c r="N356" s="46" t="n">
        <x:v>0.060086682427107956</x:v>
      </x:c>
      <x:c r="O356" s="48" t="str">
        <x:v>F</x:v>
      </x:c>
      <x:c r="P356" s="46" t="n">
        <x:v>0.2777777777777778</x:v>
      </x:c>
      <x:c r="Q356" s="45" t="n">
        <x:v>1</x:v>
      </x:c>
    </x:row>
    <x:row r="357">
      <x:c r="A357" s="45" t="n">
        <x:v>356</x:v>
      </x:c>
      <x:c r="B357" s="45" t="n">
        <x:v>427</x:v>
      </x:c>
      <x:c r="C357" s="45" t="n">
        <x:v>0</x:v>
      </x:c>
      <x:c r="D357" s="43" t="str">
        <x:v>Gupta and Rangan (1998)</x:v>
      </x:c>
      <x:c r="E357" s="43" t="str">
        <x:v>S-5</x:v>
      </x:c>
      <x:c r="F357" s="45" t="n">
        <x:v>3</x:v>
      </x:c>
      <x:c r="G357" s="44" t="str">
        <x:v>Flex-Shear</x:v>
      </x:c>
      <x:c r="H357" s="46" t="n">
        <x:v>1.1</x:v>
      </x:c>
      <x:c r="I357" s="46" t="n">
        <x:v>13.333333333333334</x:v>
      </x:c>
      <x:c r="J357" s="46" t="n">
        <x:v>0.09764392156862747</x:v>
      </x:c>
      <x:c r="K357" s="46" t="n">
        <x:v>0.041327131782945746</x:v>
      </x:c>
      <x:c r="L357" s="46" t="n">
        <x:v>0.1649054117647059</x:v>
      </x:c>
      <x:c r="M357" s="46" t="n">
        <x:v>0.020188866381376454</x:v>
      </x:c>
      <x:c r="N357" s="46" t="n">
        <x:v>0.12463900288797691</x:v>
      </x:c>
      <x:c r="O357" s="48" t="str">
        <x:v>F</x:v>
      </x:c>
      <x:c r="P357" s="46" t="n">
        <x:v>0.2777777777777778</x:v>
      </x:c>
      <x:c r="Q357" s="45" t="n">
        <x:v>1</x:v>
      </x:c>
    </x:row>
    <x:row r="358">
      <x:c r="A358" s="45" t="n">
        <x:v>357</x:v>
      </x:c>
      <x:c r="B358" s="45" t="n">
        <x:v>428</x:v>
      </x:c>
      <x:c r="C358" s="45" t="n">
        <x:v>0</x:v>
      </x:c>
      <x:c r="D358" s="43" t="str">
        <x:v>Gupta and Rangan (1998)</x:v>
      </x:c>
      <x:c r="E358" s="43" t="str">
        <x:v>S-6</x:v>
      </x:c>
      <x:c r="F358" s="45" t="n">
        <x:v>3</x:v>
      </x:c>
      <x:c r="G358" s="44" t="str">
        <x:v>Flex-Shear</x:v>
      </x:c>
      <x:c r="H358" s="46" t="n">
        <x:v>1.1</x:v>
      </x:c>
      <x:c r="I358" s="46" t="n">
        <x:v>13.333333333333334</x:v>
      </x:c>
      <x:c r="J358" s="46" t="n">
        <x:v>0.10124497399527188</x:v>
      </x:c>
      <x:c r="K358" s="46" t="n">
        <x:v>0.04285125295508275</x:v>
      </x:c>
      <x:c r="L358" s="46" t="n">
        <x:v>0.1887351527186761</x:v>
      </x:c>
      <x:c r="M358" s="46" t="n">
        <x:v>0.020933420318845656</x:v>
      </x:c>
      <x:c r="N358" s="46" t="n">
        <x:v>0.06409246125558182</x:v>
      </x:c>
      <x:c r="O358" s="48" t="str">
        <x:v>F</x:v>
      </x:c>
      <x:c r="P358" s="46" t="n">
        <x:v>0.2777777777777778</x:v>
      </x:c>
      <x:c r="Q358" s="45" t="n">
        <x:v>1</x:v>
      </x:c>
    </x:row>
    <x:row r="359">
      <x:c r="A359" s="45" t="n">
        <x:v>358</x:v>
      </x:c>
      <x:c r="B359" s="45" t="n">
        <x:v>429</x:v>
      </x:c>
      <x:c r="C359" s="45" t="n">
        <x:v>0</x:v>
      </x:c>
      <x:c r="D359" s="43" t="str">
        <x:v>Gupta and Rangan (1998)</x:v>
      </x:c>
      <x:c r="E359" s="43" t="str">
        <x:v>S-7</x:v>
      </x:c>
      <x:c r="F359" s="45" t="n">
        <x:v>3</x:v>
      </x:c>
      <x:c r="G359" s="44" t="str">
        <x:v>Flex-Shear</x:v>
      </x:c>
      <x:c r="H359" s="46" t="n">
        <x:v>1.1</x:v>
      </x:c>
      <x:c r="I359" s="46" t="n">
        <x:v>13.333333333333334</x:v>
      </x:c>
      <x:c r="J359" s="46" t="n">
        <x:v>0.06062359550561797</x:v>
      </x:c>
      <x:c r="K359" s="46" t="n">
        <x:v>0.04242996254681648</x:v>
      </x:c>
      <x:c r="L359" s="46" t="n">
        <x:v>0.1323513108614232</x:v>
      </x:c>
      <x:c r="M359" s="46" t="n">
        <x:v>0.020727614220205318</x:v>
      </x:c>
      <x:c r="N359" s="46" t="n">
        <x:v>0.032251352476071575</x:v>
      </x:c>
      <x:c r="O359" s="48" t="str">
        <x:v>F</x:v>
      </x:c>
      <x:c r="P359" s="46" t="n">
        <x:v>0.2777777777777778</x:v>
      </x:c>
      <x:c r="Q359" s="45" t="n">
        <x:v>1</x:v>
      </x:c>
    </x:row>
    <x:row r="360">
      <x:c r="A360" s="45" t="n">
        <x:v>359</x:v>
      </x:c>
      <x:c r="B360" s="45" t="n">
        <x:v>430</x:v>
      </x:c>
      <x:c r="C360" s="45" t="n">
        <x:v>0</x:v>
      </x:c>
      <x:c r="D360" s="43" t="str">
        <x:v>Yuan et al. (2018)</x:v>
      </x:c>
      <x:c r="E360" s="43" t="str">
        <x:v>SW-1</x:v>
      </x:c>
      <x:c r="F360" s="45" t="n">
        <x:v>1</x:v>
      </x:c>
      <x:c r="G360" s="44" t="str">
        <x:v>Flexural</x:v>
      </x:c>
      <x:c r="H360" s="46" t="n">
        <x:v>2</x:v>
      </x:c>
      <x:c r="I360" s="46" t="n">
        <x:v>6.4</x:v>
      </x:c>
      <x:c r="J360" s="46" t="n">
        <x:v>0.040189542483660134</x:v>
      </x:c>
      <x:c r="K360" s="46" t="n">
        <x:v>0.03911111111111111</x:v>
      </x:c>
      <x:c r="L360" s="46" t="n">
        <x:v>0.038128540305010894</x:v>
      </x:c>
      <x:c r="M360" s="46" t="n">
        <x:v>0.09481481481481482</x:v>
      </x:c>
      <x:c r="N360" s="46" t="n">
        <x:v>0.129953022875817</x:v>
      </x:c>
      <x:c r="O360" s="48" t="str">
        <x:v>R</x:v>
      </x:c>
      <x:c r="P360" s="46" t="n">
        <x:v>0</x:v>
      </x:c>
      <x:c r="Q360" s="45" t="n">
        <x:v>1</x:v>
      </x:c>
    </x:row>
    <x:row r="361">
      <x:c r="A361" s="45" t="n">
        <x:v>360</x:v>
      </x:c>
      <x:c r="B361" s="45" t="n">
        <x:v>431</x:v>
      </x:c>
      <x:c r="C361" s="45" t="n">
        <x:v>0</x:v>
      </x:c>
      <x:c r="D361" s="43" t="str">
        <x:v>Yuan et al. (2018)</x:v>
      </x:c>
      <x:c r="E361" s="43" t="str">
        <x:v>SW-2</x:v>
      </x:c>
      <x:c r="F361" s="45" t="n">
        <x:v>1</x:v>
      </x:c>
      <x:c r="G361" s="44" t="str">
        <x:v>Flexural</x:v>
      </x:c>
      <x:c r="H361" s="46" t="n">
        <x:v>2</x:v>
      </x:c>
      <x:c r="I361" s="46" t="n">
        <x:v>6.4</x:v>
      </x:c>
      <x:c r="J361" s="46" t="n">
        <x:v>0.07316557734204794</x:v>
      </x:c>
      <x:c r="K361" s="46" t="n">
        <x:v>0.08414814814814815</x:v>
      </x:c>
      <x:c r="L361" s="46" t="n">
        <x:v>0.038128540305010894</x:v>
      </x:c>
      <x:c r="M361" s="46" t="n">
        <x:v>0.09481481481481482</x:v>
      </x:c>
      <x:c r="N361" s="46" t="n">
        <x:v>0.129953022875817</x:v>
      </x:c>
      <x:c r="O361" s="48" t="str">
        <x:v>R</x:v>
      </x:c>
      <x:c r="P361" s="46" t="n">
        <x:v>0</x:v>
      </x:c>
      <x:c r="Q361" s="45" t="n">
        <x:v>1</x:v>
      </x:c>
    </x:row>
    <x:row r="362">
      <x:c r="A362" s="45" t="n">
        <x:v>361</x:v>
      </x:c>
      <x:c r="B362" s="45" t="n">
        <x:v>432</x:v>
      </x:c>
      <x:c r="C362" s="45" t="n">
        <x:v>0</x:v>
      </x:c>
      <x:c r="D362" s="43" t="str">
        <x:v>Yanez et al. (1991)</x:v>
      </x:c>
      <x:c r="E362" s="43" t="str">
        <x:v>S1</x:v>
      </x:c>
      <x:c r="F362" s="45" t="n">
        <x:v>1</x:v>
      </x:c>
      <x:c r="G362" s="44" t="str">
        <x:v>Flexural</x:v>
      </x:c>
      <x:c r="H362" s="46" t="n">
        <x:v>1.25</x:v>
      </x:c>
      <x:c r="I362" s="46" t="n">
        <x:v>16.666666666666668</x:v>
      </x:c>
      <x:c r="J362" s="46" t="n">
        <x:v>0.06985294117647059</x:v>
      </x:c>
      <x:c r="K362" s="46" t="n">
        <x:v>0.05588235294117647</x:v>
      </x:c>
      <x:c r="L362" s="46" t="n">
        <x:v>0.06985294117647059</x:v>
      </x:c>
      <x:c r="M362" s="46" t="n">
        <x:v>0.05588235294117647</x:v>
      </x:c>
      <x:c r="N362" s="46" t="n">
        <x:v>0</x:v>
      </x:c>
      <x:c r="O362" s="48" t="str">
        <x:v>R</x:v>
      </x:c>
      <x:c r="P362" s="46" t="n">
        <x:v>0</x:v>
      </x:c>
      <x:c r="Q362" s="45" t="n">
        <x:v>1</x:v>
      </x:c>
    </x:row>
    <x:row r="363">
      <x:c r="A363" s="45" t="n">
        <x:v>362</x:v>
      </x:c>
      <x:c r="B363" s="45" t="n">
        <x:v>434</x:v>
      </x:c>
      <x:c r="C363" s="45" t="n">
        <x:v>0</x:v>
      </x:c>
      <x:c r="D363" s="43" t="str">
        <x:v>Terzioglu et al. (2018)</x:v>
      </x:c>
      <x:c r="E363" s="43" t="str">
        <x:v>T2-S2-3</x:v>
      </x:c>
      <x:c r="F363" s="45" t="n">
        <x:v>2</x:v>
      </x:c>
      <x:c r="G363" s="44" t="str">
        <x:v>Shear</x:v>
      </x:c>
      <x:c r="H363" s="46" t="n">
        <x:v>0.6466666666666666</x:v>
      </x:c>
      <x:c r="I363" s="46" t="n">
        <x:v>12.5</x:v>
      </x:c>
      <x:c r="J363" s="46" t="n">
        <x:v>0.11596899224806201</x:v>
      </x:c>
      <x:c r="K363" s="46" t="n">
        <x:v>0.1267751937984496</x:v>
      </x:c>
      <x:c r="L363" s="46" t="n">
        <x:v>0.8782945736434108</x:v>
      </x:c>
      <x:c r="M363" s="46" t="n">
        <x:v>0.1267751937984496</x:v>
      </x:c>
      <x:c r="N363" s="46" t="n">
        <x:v>0</x:v>
      </x:c>
      <x:c r="O363" s="48" t="str">
        <x:v>R</x:v>
      </x:c>
      <x:c r="P363" s="46" t="n">
        <x:v>0</x:v>
      </x:c>
      <x:c r="Q363" s="45" t="n">
        <x:v>1</x:v>
      </x:c>
    </x:row>
    <x:row r="364">
      <x:c r="A364" s="45" t="n">
        <x:v>363</x:v>
      </x:c>
      <x:c r="B364" s="45" t="n">
        <x:v>435</x:v>
      </x:c>
      <x:c r="C364" s="45" t="n">
        <x:v>0</x:v>
      </x:c>
      <x:c r="D364" s="43" t="str">
        <x:v>Terzioglu et al. (2018)</x:v>
      </x:c>
      <x:c r="E364" s="43" t="str">
        <x:v>T1-S2-9</x:v>
      </x:c>
      <x:c r="F364" s="45" t="n">
        <x:v>2</x:v>
      </x:c>
      <x:c r="G364" s="44" t="str">
        <x:v>Shear</x:v>
      </x:c>
      <x:c r="H364" s="46" t="n">
        <x:v>0.6333333333333333</x:v>
      </x:c>
      <x:c r="I364" s="46" t="n">
        <x:v>12.5</x:v>
      </x:c>
      <x:c r="J364" s="46" t="n">
        <x:v>0.06700833333333332</x:v>
      </x:c>
      <x:c r="K364" s="46" t="n">
        <x:v>0.08273333333333333</x:v>
      </x:c>
      <x:c r="L364" s="46" t="n">
        <x:v>1.0149791666666665</x:v>
      </x:c>
      <x:c r="M364" s="46" t="n">
        <x:v>0.08273333333333333</x:v>
      </x:c>
      <x:c r="N364" s="46" t="n">
        <x:v>0</x:v>
      </x:c>
      <x:c r="O364" s="48" t="str">
        <x:v>R</x:v>
      </x:c>
      <x:c r="P364" s="46" t="n">
        <x:v>0</x:v>
      </x:c>
      <x:c r="Q364" s="45" t="n">
        <x:v>1</x:v>
      </x:c>
    </x:row>
    <x:row r="365">
      <x:c r="A365" s="45" t="n">
        <x:v>364</x:v>
      </x:c>
      <x:c r="B365" s="45" t="n">
        <x:v>436</x:v>
      </x:c>
      <x:c r="C365" s="45" t="n">
        <x:v>0</x:v>
      </x:c>
      <x:c r="D365" s="43" t="str">
        <x:v>Terzioglu et al. (2018)</x:v>
      </x:c>
      <x:c r="E365" s="43" t="str">
        <x:v>T1-N10-S1-11</x:v>
      </x:c>
      <x:c r="F365" s="45" t="n">
        <x:v>2</x:v>
      </x:c>
      <x:c r="G365" s="44" t="str">
        <x:v>Shear</x:v>
      </x:c>
      <x:c r="H365" s="46" t="n">
        <x:v>0.6333333333333333</x:v>
      </x:c>
      <x:c r="I365" s="46" t="n">
        <x:v>12.5</x:v>
      </x:c>
      <x:c r="J365" s="46" t="n">
        <x:v>0.059562962962962956</x:v>
      </x:c>
      <x:c r="K365" s="46" t="n">
        <x:v>0.07354074074074074</x:v>
      </x:c>
      <x:c r="L365" s="46" t="n">
        <x:v>0.9022037037037036</x:v>
      </x:c>
      <x:c r="M365" s="46" t="n">
        <x:v>0.07354074074074074</x:v>
      </x:c>
      <x:c r="N365" s="46" t="n">
        <x:v>0.09876543209876543</x:v>
      </x:c>
      <x:c r="O365" s="48" t="str">
        <x:v>R</x:v>
      </x:c>
      <x:c r="P365" s="46" t="n">
        <x:v>0</x:v>
      </x:c>
      <x:c r="Q365" s="45" t="n">
        <x:v>1</x:v>
      </x:c>
    </x:row>
    <x:row r="366">
      <x:c r="A366" s="45" t="n">
        <x:v>365</x:v>
      </x:c>
      <x:c r="B366" s="45" t="n">
        <x:v>437</x:v>
      </x:c>
      <x:c r="C366" s="45" t="n">
        <x:v>0</x:v>
      </x:c>
      <x:c r="D366" s="43" t="str">
        <x:v>Terzioglu et al. (2018)</x:v>
      </x:c>
      <x:c r="E366" s="43" t="str">
        <x:v>T1-S1-2</x:v>
      </x:c>
      <x:c r="F366" s="45" t="n">
        <x:v>2</x:v>
      </x:c>
      <x:c r="G366" s="44" t="str">
        <x:v>Shear</x:v>
      </x:c>
      <x:c r="H366" s="46" t="n">
        <x:v>0.6333333333333333</x:v>
      </x:c>
      <x:c r="I366" s="46" t="n">
        <x:v>12.5</x:v>
      </x:c>
      <x:c r="J366" s="46" t="n">
        <x:v>0.06312236286919831</x:v>
      </x:c>
      <x:c r="K366" s="46" t="n">
        <x:v>0.0690042194092827</x:v>
      </x:c>
      <x:c r="L366" s="46" t="n">
        <x:v>0.9561181434599156</x:v>
      </x:c>
      <x:c r="M366" s="46" t="n">
        <x:v>0.0690042194092827</x:v>
      </x:c>
      <x:c r="N366" s="46" t="n">
        <x:v>0</x:v>
      </x:c>
      <x:c r="O366" s="48" t="str">
        <x:v>R</x:v>
      </x:c>
      <x:c r="P366" s="46" t="n">
        <x:v>0</x:v>
      </x:c>
      <x:c r="Q366" s="45" t="n">
        <x:v>1</x:v>
      </x:c>
    </x:row>
    <x:row r="367">
      <x:c r="A367" s="45" t="n">
        <x:v>366</x:v>
      </x:c>
      <x:c r="B367" s="45" t="n">
        <x:v>438</x:v>
      </x:c>
      <x:c r="C367" s="45" t="n">
        <x:v>0</x:v>
      </x:c>
      <x:c r="D367" s="43" t="str">
        <x:v>Abdulridha and Palermo (2017)</x:v>
      </x:c>
      <x:c r="E367" s="43" t="str">
        <x:v>W1-SR</x:v>
      </x:c>
      <x:c r="F367" s="45" t="n">
        <x:v>1</x:v>
      </x:c>
      <x:c r="G367" s="44" t="str">
        <x:v>Flexural</x:v>
      </x:c>
      <x:c r="H367" s="46" t="n">
        <x:v>2.4</x:v>
      </x:c>
      <x:c r="I367" s="46" t="n">
        <x:v>6.666666666666667</x:v>
      </x:c>
      <x:c r="J367" s="46" t="n">
        <x:v>0.12262295081967214</x:v>
      </x:c>
      <x:c r="K367" s="46" t="n">
        <x:v>0.12262295081967214</x:v>
      </x:c>
      <x:c r="L367" s="46" t="n">
        <x:v>0.185327868852459</x:v>
      </x:c>
      <x:c r="M367" s="46" t="n">
        <x:v>0.29262295081967216</x:v>
      </x:c>
      <x:c r="N367" s="46" t="n">
        <x:v>0</x:v>
      </x:c>
      <x:c r="O367" s="48" t="str">
        <x:v>R</x:v>
      </x:c>
      <x:c r="P367" s="46" t="n">
        <x:v>0</x:v>
      </x:c>
      <x:c r="Q367" s="45" t="n">
        <x:v>1</x:v>
      </x:c>
    </x:row>
    <x:row r="368">
      <x:c r="A368" s="45" t="n">
        <x:v>367</x:v>
      </x:c>
      <x:c r="B368" s="45" t="n">
        <x:v>439</x:v>
      </x:c>
      <x:c r="C368" s="45" t="n">
        <x:v>0</x:v>
      </x:c>
      <x:c r="D368" s="43" t="str">
        <x:v>Christidis and Trezos (2017)</x:v>
      </x:c>
      <x:c r="E368" s="43" t="str">
        <x:v>W7</x:v>
      </x:c>
      <x:c r="F368" s="45" t="n">
        <x:v>1</x:v>
      </x:c>
      <x:c r="G368" s="44" t="str">
        <x:v>Flexural</x:v>
      </x:c>
      <x:c r="H368" s="46" t="n">
        <x:v>2</x:v>
      </x:c>
      <x:c r="I368" s="46" t="n">
        <x:v>6</x:v>
      </x:c>
      <x:c r="J368" s="46" t="n">
        <x:v>0.27019280205655527</x:v>
      </x:c>
      <x:c r="K368" s="46" t="n">
        <x:v>0.12640488431876606</x:v>
      </x:c>
      <x:c r="L368" s="46" t="n">
        <x:v>0.45804627249357327</x:v>
      </x:c>
      <x:c r="M368" s="46" t="n">
        <x:v>1.2640488431876606</x:v>
      </x:c>
      <x:c r="N368" s="46" t="n">
        <x:v>0</x:v>
      </x:c>
      <x:c r="O368" s="48" t="str">
        <x:v>R</x:v>
      </x:c>
      <x:c r="P368" s="46" t="n">
        <x:v>0</x:v>
      </x:c>
      <x:c r="Q368" s="45" t="n">
        <x:v>1</x:v>
      </x:c>
    </x:row>
    <x:row r="369">
      <x:c r="A369" s="45" t="n">
        <x:v>368</x:v>
      </x:c>
      <x:c r="B369" s="45" t="n">
        <x:v>440</x:v>
      </x:c>
      <x:c r="C369" s="45" t="n">
        <x:v>0</x:v>
      </x:c>
      <x:c r="D369" s="43" t="str">
        <x:v>Christidis and Trezos (2017)</x:v>
      </x:c>
      <x:c r="E369" s="43" t="str">
        <x:v>W9</x:v>
      </x:c>
      <x:c r="F369" s="45" t="n">
        <x:v>2</x:v>
      </x:c>
      <x:c r="G369" s="44" t="str">
        <x:v>Shear</x:v>
      </x:c>
      <x:c r="H369" s="46" t="n">
        <x:v>2</x:v>
      </x:c>
      <x:c r="I369" s="46" t="n">
        <x:v>6</x:v>
      </x:c>
      <x:c r="J369" s="46" t="n">
        <x:v>0.22476863753213366</x:v>
      </x:c>
      <x:c r="K369" s="46" t="n">
        <x:v>0.03797814910025707</x:v>
      </x:c>
      <x:c r="L369" s="46" t="n">
        <x:v>0.22476863753213366</x:v>
      </x:c>
      <x:c r="M369" s="46" t="n">
        <x:v>0</x:v>
      </x:c>
      <x:c r="N369" s="46" t="n">
        <x:v>0</x:v>
      </x:c>
      <x:c r="O369" s="48" t="str">
        <x:v>R</x:v>
      </x:c>
      <x:c r="P369" s="46" t="n">
        <x:v>0</x:v>
      </x:c>
      <x:c r="Q369" s="45" t="n">
        <x:v>1</x:v>
      </x:c>
    </x:row>
    <x:row r="370">
      <x:c r="A370" s="45" t="n">
        <x:v>369</x:v>
      </x:c>
      <x:c r="B370" s="45" t="n">
        <x:v>441</x:v>
      </x:c>
      <x:c r="C370" s="45" t="n">
        <x:v>0</x:v>
      </x:c>
      <x:c r="D370" s="43" t="str">
        <x:v>Christidis and Trezos (2017)</x:v>
      </x:c>
      <x:c r="E370" s="43" t="str">
        <x:v>W11</x:v>
      </x:c>
      <x:c r="F370" s="45" t="n">
        <x:v>2</x:v>
      </x:c>
      <x:c r="G370" s="44" t="str">
        <x:v>Shear</x:v>
      </x:c>
      <x:c r="H370" s="46" t="n">
        <x:v>2</x:v>
      </x:c>
      <x:c r="I370" s="46" t="n">
        <x:v>6</x:v>
      </x:c>
      <x:c r="J370" s="46" t="n">
        <x:v>0.22476863753213366</x:v>
      </x:c>
      <x:c r="K370" s="46" t="n">
        <x:v>0.021350899742930588</x:v>
      </x:c>
      <x:c r="L370" s="46" t="n">
        <x:v>0.22476863753213366</x:v>
      </x:c>
      <x:c r="M370" s="46" t="n">
        <x:v>0</x:v>
      </x:c>
      <x:c r="N370" s="46" t="n">
        <x:v>0</x:v>
      </x:c>
      <x:c r="O370" s="48" t="str">
        <x:v>R</x:v>
      </x:c>
      <x:c r="P370" s="46" t="n">
        <x:v>0</x:v>
      </x:c>
      <x:c r="Q370" s="45" t="n">
        <x:v>1</x:v>
      </x:c>
    </x:row>
    <x:row r="371">
      <x:c r="A371" s="45" t="n">
        <x:v>370</x:v>
      </x:c>
      <x:c r="B371" s="45" t="n">
        <x:v>442</x:v>
      </x:c>
      <x:c r="C371" s="45" t="n">
        <x:v>0</x:v>
      </x:c>
      <x:c r="D371" s="43" t="str">
        <x:v>Christidis and Trezos (2017)</x:v>
      </x:c>
      <x:c r="E371" s="43" t="str">
        <x:v>W13</x:v>
      </x:c>
      <x:c r="F371" s="45" t="n">
        <x:v>2</x:v>
      </x:c>
      <x:c r="G371" s="44" t="str">
        <x:v>Shear</x:v>
      </x:c>
      <x:c r="H371" s="46" t="n">
        <x:v>2</x:v>
      </x:c>
      <x:c r="I371" s="46" t="n">
        <x:v>6</x:v>
      </x:c>
      <x:c r="J371" s="46" t="n">
        <x:v>0.2760378847671665</x:v>
      </x:c>
      <x:c r="K371" s="46" t="n">
        <x:v>0.026220994475138117</x:v>
      </x:c>
      <x:c r="L371" s="46" t="n">
        <x:v>0.2760378847671665</x:v>
      </x:c>
      <x:c r="M371" s="46" t="n">
        <x:v>0</x:v>
      </x:c>
      <x:c r="N371" s="46" t="n">
        <x:v>0</x:v>
      </x:c>
      <x:c r="O371" s="48" t="str">
        <x:v>R</x:v>
      </x:c>
      <x:c r="P371" s="46" t="n">
        <x:v>0</x:v>
      </x:c>
      <x:c r="Q371" s="45" t="n">
        <x:v>1</x:v>
      </x:c>
    </x:row>
    <x:row r="372">
      <x:c r="A372" s="45" t="n">
        <x:v>371</x:v>
      </x:c>
      <x:c r="B372" s="45" t="n">
        <x:v>443</x:v>
      </x:c>
      <x:c r="C372" s="45" t="n">
        <x:v>0</x:v>
      </x:c>
      <x:c r="D372" s="43" t="str">
        <x:v>Ren et al. (2018)</x:v>
      </x:c>
      <x:c r="E372" s="43" t="str">
        <x:v>RC-W</x:v>
      </x:c>
      <x:c r="F372" s="45" t="n">
        <x:v>1</x:v>
      </x:c>
      <x:c r="G372" s="44" t="str">
        <x:v>Flexural</x:v>
      </x:c>
      <x:c r="H372" s="46" t="n">
        <x:v>2.054054054054054</x:v>
      </x:c>
      <x:c r="I372" s="46" t="n">
        <x:v>5.138888888888889</x:v>
      </x:c>
      <x:c r="J372" s="46" t="n">
        <x:v>0.018038543897216274</x:v>
      </x:c>
      <x:c r="K372" s="46" t="n">
        <x:v>0.0420899357601713</x:v>
      </x:c>
      <x:c r="L372" s="46" t="n">
        <x:v>0.2904668094218415</x:v>
      </x:c>
      <x:c r="M372" s="46" t="n">
        <x:v>0.06280085653104925</x:v>
      </x:c>
      <x:c r="N372" s="46" t="n">
        <x:v>0.18005157191452692</x:v>
      </x:c>
      <x:c r="O372" s="48" t="str">
        <x:v>R</x:v>
      </x:c>
      <x:c r="P372" s="46" t="n">
        <x:v>0</x:v>
      </x:c>
      <x:c r="Q372" s="45" t="n">
        <x:v>1</x:v>
      </x:c>
    </x:row>
    <x:row r="373">
      <x:c r="A373" s="45" t="n">
        <x:v>372</x:v>
      </x:c>
      <x:c r="B373" s="45" t="n">
        <x:v>444</x:v>
      </x:c>
      <x:c r="C373" s="45" t="n">
        <x:v>0</x:v>
      </x:c>
      <x:c r="D373" s="43" t="str">
        <x:v>Qiao et al. (2017)</x:v>
      </x:c>
      <x:c r="E373" s="43" t="str">
        <x:v>W1</x:v>
      </x:c>
      <x:c r="F373" s="45" t="n">
        <x:v>1</x:v>
      </x:c>
      <x:c r="G373" s="44" t="str">
        <x:v>Flexural</x:v>
      </x:c>
      <x:c r="H373" s="46" t="n">
        <x:v>0.85</x:v>
      </x:c>
      <x:c r="I373" s="46" t="n">
        <x:v>6.25</x:v>
      </x:c>
      <x:c r="J373" s="46" t="n">
        <x:v>0.05058534743202416</x:v>
      </x:c>
      <x:c r="K373" s="46" t="n">
        <x:v>0.050587235649546834</x:v>
      </x:c>
      <x:c r="L373" s="46" t="n">
        <x:v>0.10025944108761328</x:v>
      </x:c>
      <x:c r="M373" s="46" t="n">
        <x:v>0.048563746223564956</x:v>
      </x:c>
      <x:c r="N373" s="46" t="n">
        <x:v>0.02360271903323263</x:v>
      </x:c>
      <x:c r="O373" s="48" t="str">
        <x:v>R</x:v>
      </x:c>
      <x:c r="P373" s="46" t="n">
        <x:v>0</x:v>
      </x:c>
      <x:c r="Q373" s="45" t="n">
        <x:v>1</x:v>
      </x:c>
    </x:row>
    <x:row r="374">
      <x:c r="A374" s="45" t="n">
        <x:v>373</x:v>
      </x:c>
      <x:c r="B374" s="45" t="n">
        <x:v>445</x:v>
      </x:c>
      <x:c r="C374" s="45" t="n">
        <x:v>0</x:v>
      </x:c>
      <x:c r="D374" s="43" t="str">
        <x:v>Shen et al. (2017)</x:v>
      </x:c>
      <x:c r="E374" s="43" t="str">
        <x:v>SHW0</x:v>
      </x:c>
      <x:c r="F374" s="45" t="n">
        <x:v>1</x:v>
      </x:c>
      <x:c r="G374" s="44" t="str">
        <x:v>Flexural</x:v>
      </x:c>
      <x:c r="H374" s="46" t="n">
        <x:v>1.75</x:v>
      </x:c>
      <x:c r="I374" s="46" t="n">
        <x:v>8.333333333333334</x:v>
      </x:c>
      <x:c r="J374" s="46" t="n">
        <x:v>0.04484732824427481</x:v>
      </x:c>
      <x:c r="K374" s="46" t="n">
        <x:v>0.04335241730279898</x:v>
      </x:c>
      <x:c r="L374" s="46" t="n">
        <x:v>0.18540076335877861</x:v>
      </x:c>
      <x:c r="M374" s="46" t="n">
        <x:v>0.08670483460559796</x:v>
      </x:c>
      <x:c r="N374" s="46" t="n">
        <x:v>0.08614291772688719</x:v>
      </x:c>
      <x:c r="O374" s="48" t="str">
        <x:v>R</x:v>
      </x:c>
      <x:c r="P374" s="46" t="n">
        <x:v>0</x:v>
      </x:c>
      <x:c r="Q374" s="45" t="n">
        <x:v>1</x:v>
      </x:c>
    </x:row>
    <x:row r="375">
      <x:c r="A375" s="45" t="n">
        <x:v>374</x:v>
      </x:c>
      <x:c r="B375" s="45" t="n">
        <x:v>446</x:v>
      </x:c>
      <x:c r="C375" s="45" t="n">
        <x:v>0</x:v>
      </x:c>
      <x:c r="D375" s="43" t="str">
        <x:v>Mohamed et al. (2014)</x:v>
      </x:c>
      <x:c r="E375" s="43" t="str">
        <x:v>ST15</x:v>
      </x:c>
      <x:c r="F375" s="45" t="n">
        <x:v>1</x:v>
      </x:c>
      <x:c r="G375" s="44" t="str">
        <x:v>Flexural</x:v>
      </x:c>
      <x:c r="H375" s="46" t="n">
        <x:v>2.3333333333333335</x:v>
      </x:c>
      <x:c r="I375" s="46" t="n">
        <x:v>7.5</x:v>
      </x:c>
      <x:c r="J375" s="46" t="n">
        <x:v>0.023469387755102038</x:v>
      </x:c>
      <x:c r="K375" s="46" t="n">
        <x:v>0.06428571428571428</x:v>
      </x:c>
      <x:c r="L375" s="46" t="n">
        <x:v>0.0510204081632653</x:v>
      </x:c>
      <x:c r="M375" s="46" t="n">
        <x:v>0.06428571428571428</x:v>
      </x:c>
      <x:c r="N375" s="46" t="n">
        <x:v>0.07</x:v>
      </x:c>
      <x:c r="O375" s="48" t="str">
        <x:v>R</x:v>
      </x:c>
      <x:c r="P375" s="46" t="n">
        <x:v>0</x:v>
      </x:c>
      <x:c r="Q375" s="45" t="n">
        <x:v>1</x:v>
      </x:c>
    </x:row>
    <x:row r="376">
      <x:c r="A376" s="45" t="n">
        <x:v>375</x:v>
      </x:c>
      <x:c r="B376" s="45" t="n">
        <x:v>447</x:v>
      </x:c>
      <x:c r="C376" s="45" t="n">
        <x:v>0</x:v>
      </x:c>
      <x:c r="D376" s="43" t="str">
        <x:v>Ghazizadeh and Cruz-Noguez (2018)</x:v>
      </x:c>
      <x:c r="E376" s="43" t="str">
        <x:v>Control Wall</x:v>
      </x:c>
      <x:c r="F376" s="45" t="n">
        <x:v>1</x:v>
      </x:c>
      <x:c r="G376" s="44" t="str">
        <x:v>Flexural</x:v>
      </x:c>
      <x:c r="H376" s="46" t="n">
        <x:v>1.0833333333333333</x:v>
      </x:c>
      <x:c r="I376" s="46" t="n">
        <x:v>12</x:v>
      </x:c>
      <x:c r="J376" s="46" t="n">
        <x:v>0.03800655737704918</x:v>
      </x:c>
      <x:c r="K376" s="46" t="n">
        <x:v>0.030540983606557374</x:v>
      </x:c>
      <x:c r="L376" s="46" t="n">
        <x:v>0.03800655737704918</x:v>
      </x:c>
      <x:c r="M376" s="46" t="n">
        <x:v>0.20224918032786884</x:v>
      </x:c>
      <x:c r="N376" s="46" t="n">
        <x:v>0</x:v>
      </x:c>
      <x:c r="O376" s="48" t="str">
        <x:v>R</x:v>
      </x:c>
      <x:c r="P376" s="46" t="n">
        <x:v>0</x:v>
      </x:c>
      <x:c r="Q376" s="45" t="n">
        <x:v>1</x:v>
      </x:c>
    </x:row>
    <x:row r="377">
      <x:c r="A377" s="45" t="n">
        <x:v>376</x:v>
      </x:c>
      <x:c r="B377" s="45" t="n">
        <x:v>448</x:v>
      </x:c>
      <x:c r="C377" s="45" t="n">
        <x:v>0</x:v>
      </x:c>
      <x:c r="D377" s="43" t="str">
        <x:v>Aanasopoulou (2010)</x:v>
      </x:c>
      <x:c r="E377" s="43" t="str">
        <x:v>S1</x:v>
      </x:c>
      <x:c r="F377" s="45" t="n">
        <x:v>1</x:v>
      </x:c>
      <x:c r="G377" s="44" t="str">
        <x:v>Flexural</x:v>
      </x:c>
      <x:c r="H377" s="46" t="n">
        <x:v>1.1998031496062993</x:v>
      </x:c>
      <x:c r="I377" s="46" t="n">
        <x:v>10.05940594059406</x:v>
      </x:c>
      <x:c r="J377" s="46" t="n">
        <x:v>0.06549990560727431</x:v>
      </x:c>
      <x:c r="K377" s="46" t="n">
        <x:v>0.06549990560727431</x:v>
      </x:c>
      <x:c r="L377" s="46" t="n">
        <x:v>0.037921150032474565</x:v>
      </x:c>
      <x:c r="M377" s="46" t="n">
        <x:v>0.46126694089629794</x:v>
      </x:c>
      <x:c r="N377" s="46" t="n">
        <x:v>0</x:v>
      </x:c>
      <x:c r="O377" s="48" t="str">
        <x:v>R</x:v>
      </x:c>
      <x:c r="P377" s="46" t="n">
        <x:v>0</x:v>
      </x:c>
      <x:c r="Q377" s="45" t="n">
        <x:v>1</x:v>
      </x:c>
    </x:row>
    <x:row r="378">
      <x:c r="A378" s="45" t="n">
        <x:v>377</x:v>
      </x:c>
      <x:c r="B378" s="45" t="n">
        <x:v>449</x:v>
      </x:c>
      <x:c r="C378" s="45" t="n">
        <x:v>0</x:v>
      </x:c>
      <x:c r="D378" s="43" t="str">
        <x:v>Aanasopoulou (2010)</x:v>
      </x:c>
      <x:c r="E378" s="43" t="str">
        <x:v>S4</x:v>
      </x:c>
      <x:c r="F378" s="45" t="n">
        <x:v>4</x:v>
      </x:c>
      <x:c r="G378" s="44" t="str">
        <x:v>Sliding</x:v>
      </x:c>
      <x:c r="H378" s="46" t="n">
        <x:v>1.1998031496062993</x:v>
      </x:c>
      <x:c r="I378" s="46" t="n">
        <x:v>10.05940594059406</x:v>
      </x:c>
      <x:c r="J378" s="46" t="n">
        <x:v>0.07337322190950424</x:v>
      </x:c>
      <x:c r="K378" s="46" t="n">
        <x:v>0.07337322190950424</x:v>
      </x:c>
      <x:c r="L378" s="46" t="n">
        <x:v>0.0633640181857545</x:v>
      </x:c>
      <x:c r="M378" s="46" t="n">
        <x:v>0.8309738384931805</x:v>
      </x:c>
      <x:c r="N378" s="46" t="n">
        <x:v>0</x:v>
      </x:c>
      <x:c r="O378" s="48" t="str">
        <x:v>R</x:v>
      </x:c>
      <x:c r="P378" s="46" t="n">
        <x:v>0</x:v>
      </x:c>
      <x:c r="Q378" s="45" t="n">
        <x:v>1</x:v>
      </x:c>
    </x:row>
    <x:row r="379">
      <x:c r="A379" s="45" t="n">
        <x:v>378</x:v>
      </x:c>
      <x:c r="B379" s="45" t="n">
        <x:v>450</x:v>
      </x:c>
      <x:c r="C379" s="45" t="n">
        <x:v>0</x:v>
      </x:c>
      <x:c r="D379" s="43" t="str">
        <x:v>Aanasopoulou (2010)</x:v>
      </x:c>
      <x:c r="E379" s="43" t="str">
        <x:v>S6</x:v>
      </x:c>
      <x:c r="F379" s="45" t="n">
        <x:v>1</x:v>
      </x:c>
      <x:c r="G379" s="44" t="str">
        <x:v>Flexural</x:v>
      </x:c>
      <x:c r="H379" s="46" t="n">
        <x:v>1.5</x:v>
      </x:c>
      <x:c r="I379" s="46" t="n">
        <x:v>10.05940594059406</x:v>
      </x:c>
      <x:c r="J379" s="46" t="n">
        <x:v>0.0655463276450512</x:v>
      </x:c>
      <x:c r="K379" s="46" t="n">
        <x:v>0.0655463276450512</x:v>
      </x:c>
      <x:c r="L379" s="46" t="n">
        <x:v>0.06629683276450511</x:v>
      </x:c>
      <x:c r="M379" s="46" t="n">
        <x:v>0.8677964505119454</x:v>
      </x:c>
      <x:c r="N379" s="46" t="n">
        <x:v>0</x:v>
      </x:c>
      <x:c r="O379" s="48" t="str">
        <x:v>R</x:v>
      </x:c>
      <x:c r="P379" s="46" t="n">
        <x:v>0</x:v>
      </x:c>
      <x:c r="Q379" s="45" t="n">
        <x:v>1</x:v>
      </x:c>
    </x:row>
    <x:row r="380">
      <x:c r="A380" s="45" t="n">
        <x:v>379</x:v>
      </x:c>
      <x:c r="B380" s="45" t="n">
        <x:v>451</x:v>
      </x:c>
      <x:c r="C380" s="45" t="n">
        <x:v>0</x:v>
      </x:c>
      <x:c r="D380" s="43" t="str">
        <x:v>Aanasopoulou (2010)</x:v>
      </x:c>
      <x:c r="E380" s="43" t="str">
        <x:v>S9</x:v>
      </x:c>
      <x:c r="F380" s="45" t="n">
        <x:v>1</x:v>
      </x:c>
      <x:c r="G380" s="44" t="str">
        <x:v>Flexural</x:v>
      </x:c>
      <x:c r="H380" s="46" t="n">
        <x:v>1.5</x:v>
      </x:c>
      <x:c r="I380" s="46" t="n">
        <x:v>10.05940594059406</x:v>
      </x:c>
      <x:c r="J380" s="46" t="n">
        <x:v>0.0628943453439401</x:v>
      </x:c>
      <x:c r="K380" s="46" t="n">
        <x:v>0.0628943453439401</x:v>
      </x:c>
      <x:c r="L380" s="46" t="n">
        <x:v>0.1009698081422555</x:v>
      </x:c>
      <x:c r="M380" s="46" t="n">
        <x:v>1.2203380439868976</x:v>
      </x:c>
      <x:c r="N380" s="46" t="n">
        <x:v>0</x:v>
      </x:c>
      <x:c r="O380" s="48" t="str">
        <x:v>R</x:v>
      </x:c>
      <x:c r="P380" s="46" t="n">
        <x:v>0</x:v>
      </x:c>
      <x:c r="Q380" s="45" t="n">
        <x:v>1</x:v>
      </x:c>
    </x:row>
    <x:row r="381">
      <x:c r="A381" s="45" t="n">
        <x:v>380</x:v>
      </x:c>
      <x:c r="B381" s="45" t="n">
        <x:v>452</x:v>
      </x:c>
      <x:c r="C381" s="45" t="n">
        <x:v>0</x:v>
      </x:c>
      <x:c r="D381" s="43" t="str">
        <x:v>Aanasopoulou (2010)</x:v>
      </x:c>
      <x:c r="E381" s="43" t="str">
        <x:v>S10</x:v>
      </x:c>
      <x:c r="F381" s="45" t="n">
        <x:v>1</x:v>
      </x:c>
      <x:c r="G381" s="44" t="str">
        <x:v>Flexural</x:v>
      </x:c>
      <x:c r="H381" s="46" t="n">
        <x:v>1.5</x:v>
      </x:c>
      <x:c r="I381" s="46" t="n">
        <x:v>10.05940594059406</x:v>
      </x:c>
      <x:c r="J381" s="46" t="n">
        <x:v>0.052902109704641355</x:v>
      </x:c>
      <x:c r="K381" s="46" t="n">
        <x:v>0.052902109704641355</x:v>
      </x:c>
      <x:c r="L381" s="46" t="n">
        <x:v>0.09754632911392404</x:v>
      </x:c>
      <x:c r="M381" s="46" t="n">
        <x:v>1.1638464135021098</x:v>
      </x:c>
      <x:c r="N381" s="46" t="n">
        <x:v>0</x:v>
      </x:c>
      <x:c r="O381" s="48" t="str">
        <x:v>R</x:v>
      </x:c>
      <x:c r="P381" s="46" t="n">
        <x:v>0</x:v>
      </x:c>
      <x:c r="Q381" s="45" t="n">
        <x:v>1</x:v>
      </x:c>
    </x:row>
    <x:row r="382">
      <x:c r="A382" s="45" t="n">
        <x:v>381</x:v>
      </x:c>
      <x:c r="B382" s="45" t="n">
        <x:v>453</x:v>
      </x:c>
      <x:c r="C382" s="45" t="n">
        <x:v>0</x:v>
      </x:c>
      <x:c r="D382" s="43" t="str">
        <x:v>Alltin et al. (2013)</x:v>
      </x:c>
      <x:c r="E382" s="43" t="str">
        <x:v>Specimen 1</x:v>
      </x:c>
      <x:c r="F382" s="45" t="n">
        <x:v>3</x:v>
      </x:c>
      <x:c r="G382" s="44" t="str">
        <x:v>Flex-Shear</x:v>
      </x:c>
      <x:c r="H382" s="46" t="n">
        <x:v>1.65</x:v>
      </x:c>
      <x:c r="I382" s="46" t="n">
        <x:v>10</x:v>
      </x:c>
      <x:c r="J382" s="46" t="n">
        <x:v>0.3837096774193548</x:v>
      </x:c>
      <x:c r="K382" s="46" t="n">
        <x:v>0.031451612903225803</x:v>
      </x:c>
      <x:c r="L382" s="46" t="n">
        <x:v>2.645967741935484</x:v>
      </x:c>
      <x:c r="M382" s="46" t="n">
        <x:v>0.031451612903225803</x:v>
      </x:c>
      <x:c r="N382" s="46" t="n">
        <x:v>0</x:v>
      </x:c>
      <x:c r="O382" s="48" t="str">
        <x:v>R</x:v>
      </x:c>
      <x:c r="P382" s="46" t="n">
        <x:v>0</x:v>
      </x:c>
      <x:c r="Q382" s="45" t="n">
        <x:v>1</x:v>
      </x:c>
    </x:row>
    <x:row r="383">
      <x:c r="A383" s="45" t="n">
        <x:v>382</x:v>
      </x:c>
      <x:c r="B383" s="45" t="n">
        <x:v>454</x:v>
      </x:c>
      <x:c r="C383" s="45" t="n">
        <x:v>0</x:v>
      </x:c>
      <x:c r="D383" s="43" t="str">
        <x:v>Zhu and Guo (2017)</x:v>
      </x:c>
      <x:c r="E383" s="43" t="str">
        <x:v>MW</x:v>
      </x:c>
      <x:c r="F383" s="45" t="n">
        <x:v>1</x:v>
      </x:c>
      <x:c r="G383" s="44" t="str">
        <x:v>Flexural</x:v>
      </x:c>
      <x:c r="H383" s="46" t="n">
        <x:v>2.023529411764706</x:v>
      </x:c>
      <x:c r="I383" s="46" t="n">
        <x:v>8.5</x:v>
      </x:c>
      <x:c r="J383" s="46" t="n">
        <x:v>0.04253815715093273</x:v>
      </x:c>
      <x:c r="K383" s="46" t="n">
        <x:v>0.046184284906726956</x:v>
      </x:c>
      <x:c r="L383" s="46" t="n">
        <x:v>0.24883550028264556</x:v>
      </x:c>
      <x:c r="M383" s="46" t="n">
        <x:v>0.13976823063877897</x:v>
      </x:c>
      <x:c r="N383" s="46" t="n">
        <x:v>0.07864197120340505</x:v>
      </x:c>
      <x:c r="O383" s="48" t="str">
        <x:v>R</x:v>
      </x:c>
      <x:c r="P383" s="46" t="n">
        <x:v>0</x:v>
      </x:c>
      <x:c r="Q383" s="45" t="n">
        <x:v>1</x:v>
      </x:c>
    </x:row>
    <x:row r="384">
      <x:c r="A384" s="45" t="n">
        <x:v>383</x:v>
      </x:c>
      <x:c r="B384" s="45" t="n">
        <x:v>455</x:v>
      </x:c>
      <x:c r="C384" s="45" t="n">
        <x:v>0</x:v>
      </x:c>
      <x:c r="D384" s="43" t="str">
        <x:v>Mansur et al. (1992)</x:v>
      </x:c>
      <x:c r="E384" s="43" t="str">
        <x:v>W2</x:v>
      </x:c>
      <x:c r="F384" s="45" t="n">
        <x:v>2</x:v>
      </x:c>
      <x:c r="G384" s="44" t="str">
        <x:v>Shear</x:v>
      </x:c>
      <x:c r="H384" s="46" t="n">
        <x:v>0.675</x:v>
      </x:c>
      <x:c r="I384" s="46" t="n">
        <x:v>16.666666666666668</x:v>
      </x:c>
      <x:c r="J384" s="46" t="n">
        <x:v>0.07556018079150531</x:v>
      </x:c>
      <x:c r="K384" s="46" t="n">
        <x:v>0.07556018079150531</x:v>
      </x:c>
      <x:c r="L384" s="46" t="n">
        <x:v>0.45999999999999996</x:v>
      </x:c>
      <x:c r="M384" s="46" t="n">
        <x:v>0.07787579617834395</x:v>
      </x:c>
      <x:c r="N384" s="46" t="n">
        <x:v>0</x:v>
      </x:c>
      <x:c r="O384" s="48" t="str">
        <x:v>B</x:v>
      </x:c>
      <x:c r="P384" s="46" t="n">
        <x:v>0.22727272727272727</x:v>
      </x:c>
      <x:c r="Q384" s="45" t="n">
        <x:v>1</x:v>
      </x:c>
    </x:row>
    <x:row r="385">
      <x:c r="A385" s="45" t="n">
        <x:v>384</x:v>
      </x:c>
      <x:c r="B385" s="45" t="n">
        <x:v>456</x:v>
      </x:c>
      <x:c r="C385" s="45" t="n">
        <x:v>0</x:v>
      </x:c>
      <x:c r="D385" s="43" t="str">
        <x:v>Mansur et al. (1992)</x:v>
      </x:c>
      <x:c r="E385" s="43" t="str">
        <x:v>W3</x:v>
      </x:c>
      <x:c r="F385" s="45" t="n">
        <x:v>2</x:v>
      </x:c>
      <x:c r="G385" s="44" t="str">
        <x:v>Shear</x:v>
      </x:c>
      <x:c r="H385" s="46" t="n">
        <x:v>0.675</x:v>
      </x:c>
      <x:c r="I385" s="46" t="n">
        <x:v>16.666666666666668</x:v>
      </x:c>
      <x:c r="J385" s="46" t="n">
        <x:v>0.07580158711991268</x:v>
      </x:c>
      <x:c r="K385" s="46" t="n">
        <x:v>0.07580158711991268</x:v>
      </x:c>
      <x:c r="L385" s="46" t="n">
        <x:v>0.46146964856230027</x:v>
      </x:c>
      <x:c r="M385" s="46" t="n">
        <x:v>0.07812460063897764</x:v>
      </x:c>
      <x:c r="N385" s="46" t="n">
        <x:v>0</x:v>
      </x:c>
      <x:c r="O385" s="48" t="str">
        <x:v>B</x:v>
      </x:c>
      <x:c r="P385" s="46" t="n">
        <x:v>0.22727272727272727</x:v>
      </x:c>
      <x:c r="Q385" s="45" t="n">
        <x:v>1</x:v>
      </x:c>
    </x:row>
    <x:row r="386">
      <x:c r="A386" s="45" t="n">
        <x:v>385</x:v>
      </x:c>
      <x:c r="B386" s="45" t="n">
        <x:v>457</x:v>
      </x:c>
      <x:c r="C386" s="45" t="n">
        <x:v>0</x:v>
      </x:c>
      <x:c r="D386" s="43" t="str">
        <x:v>Mansur et al. (1992)</x:v>
      </x:c>
      <x:c r="E386" s="43" t="str">
        <x:v>W4</x:v>
      </x:c>
      <x:c r="F386" s="45" t="n">
        <x:v>2</x:v>
      </x:c>
      <x:c r="G386" s="44" t="str">
        <x:v>Shear</x:v>
      </x:c>
      <x:c r="H386" s="46" t="n">
        <x:v>0.675</x:v>
      </x:c>
      <x:c r="I386" s="46" t="n">
        <x:v>16.666666666666668</x:v>
      </x:c>
      <x:c r="J386" s="46" t="n">
        <x:v>0.0074806809069139675</x:v>
      </x:c>
      <x:c r="K386" s="46" t="n">
        <x:v>0.0074806809069139675</x:v>
      </x:c>
      <x:c r="L386" s="46" t="n">
        <x:v>0.3862032085561497</x:v>
      </x:c>
      <x:c r="M386" s="46" t="n">
        <x:v>0.05471390374331551</x:v>
      </x:c>
      <x:c r="N386" s="46" t="n">
        <x:v>0</x:v>
      </x:c>
      <x:c r="O386" s="48" t="str">
        <x:v>B</x:v>
      </x:c>
      <x:c r="P386" s="46" t="n">
        <x:v>0.22727272727272727</x:v>
      </x:c>
      <x:c r="Q386" s="45" t="n">
        <x:v>1</x:v>
      </x:c>
    </x:row>
    <x:row r="387">
      <x:c r="A387" s="45" t="n">
        <x:v>386</x:v>
      </x:c>
      <x:c r="B387" s="45" t="n">
        <x:v>458</x:v>
      </x:c>
      <x:c r="C387" s="45" t="n">
        <x:v>0</x:v>
      </x:c>
      <x:c r="D387" s="43" t="str">
        <x:v>Lu et al. (2017)</x:v>
      </x:c>
      <x:c r="E387" s="43" t="str">
        <x:v>C1</x:v>
      </x:c>
      <x:c r="F387" s="45" t="n">
        <x:v>1</x:v>
      </x:c>
      <x:c r="G387" s="44" t="str">
        <x:v>Flexural</x:v>
      </x:c>
      <x:c r="H387" s="46" t="n">
        <x:v>2</x:v>
      </x:c>
      <x:c r="I387" s="46" t="n">
        <x:v>9.333333333333334</x:v>
      </x:c>
      <x:c r="J387" s="46" t="n">
        <x:v>0.04955844155844156</x:v>
      </x:c>
      <x:c r="K387" s="46" t="n">
        <x:v>0.01948051948051948</x:v>
      </x:c>
      <x:c r="L387" s="46" t="n">
        <x:v>0.0412987012987013</x:v>
      </x:c>
      <x:c r="M387" s="46" t="n">
        <x:v>0.01948051948051948</x:v>
      </x:c>
      <x:c r="N387" s="46" t="n">
        <x:v>0.035868893011750155</x:v>
      </x:c>
      <x:c r="O387" s="48" t="str">
        <x:v>R</x:v>
      </x:c>
      <x:c r="P387" s="46" t="n">
        <x:v>0</x:v>
      </x:c>
      <x:c r="Q387" s="45" t="n">
        <x:v>1</x:v>
      </x:c>
    </x:row>
    <x:row r="388">
      <x:c r="A388" s="45" t="n">
        <x:v>387</x:v>
      </x:c>
      <x:c r="B388" s="45" t="n">
        <x:v>459</x:v>
      </x:c>
      <x:c r="C388" s="45" t="n">
        <x:v>0</x:v>
      </x:c>
      <x:c r="D388" s="43" t="str">
        <x:v>Lu et al. (2018)</x:v>
      </x:c>
      <x:c r="E388" s="43" t="str">
        <x:v>C2</x:v>
      </x:c>
      <x:c r="F388" s="45" t="n">
        <x:v>1</x:v>
      </x:c>
      <x:c r="G388" s="44" t="str">
        <x:v>Flexural</x:v>
      </x:c>
      <x:c r="H388" s="46" t="n">
        <x:v>2</x:v>
      </x:c>
      <x:c r="I388" s="46" t="n">
        <x:v>9.333333333333334</x:v>
      </x:c>
      <x:c r="J388" s="46" t="n">
        <x:v>0.055457971014492756</x:v>
      </x:c>
      <x:c r="K388" s="46" t="n">
        <x:v>0.021739130434782608</x:v>
      </x:c>
      <x:c r="L388" s="46" t="n">
        <x:v>0.04608695652173913</x:v>
      </x:c>
      <x:c r="M388" s="46" t="n">
        <x:v>0.021739130434782608</x:v>
      </x:c>
      <x:c r="N388" s="46" t="n">
        <x:v>0.04002760524499655</x:v>
      </x:c>
      <x:c r="O388" s="48" t="str">
        <x:v>R</x:v>
      </x:c>
      <x:c r="P388" s="46" t="n">
        <x:v>0</x:v>
      </x:c>
      <x:c r="Q388" s="45" t="n">
        <x:v>1</x:v>
      </x:c>
    </x:row>
    <x:row r="389">
      <x:c r="A389" s="45" t="n">
        <x:v>388</x:v>
      </x:c>
      <x:c r="B389" s="45" t="n">
        <x:v>460</x:v>
      </x:c>
      <x:c r="C389" s="45" t="n">
        <x:v>0</x:v>
      </x:c>
      <x:c r="D389" s="43" t="str">
        <x:v>Lu et al. (2019)</x:v>
      </x:c>
      <x:c r="E389" s="43" t="str">
        <x:v>C3</x:v>
      </x:c>
      <x:c r="F389" s="45" t="n">
        <x:v>1</x:v>
      </x:c>
      <x:c r="G389" s="44" t="str">
        <x:v>Flexural</x:v>
      </x:c>
      <x:c r="H389" s="46" t="n">
        <x:v>2</x:v>
      </x:c>
      <x:c r="I389" s="46" t="n">
        <x:v>9.333333333333334</x:v>
      </x:c>
      <x:c r="J389" s="46" t="n">
        <x:v>0.053</x:v>
      </x:c>
      <x:c r="K389" s="46" t="n">
        <x:v>0.020718232044198894</x:v>
      </x:c>
      <x:c r="L389" s="46" t="n">
        <x:v>0.04392265193370166</x:v>
      </x:c>
      <x:c r="M389" s="46" t="n">
        <x:v>0.020718232044198894</x:v>
      </x:c>
      <x:c r="N389" s="46" t="n">
        <x:v>0.03814785582741383</x:v>
      </x:c>
      <x:c r="O389" s="48" t="str">
        <x:v>R</x:v>
      </x:c>
      <x:c r="P389" s="46" t="n">
        <x:v>0</x:v>
      </x:c>
      <x:c r="Q389" s="45" t="n">
        <x:v>1</x:v>
      </x:c>
    </x:row>
    <x:row r="390">
      <x:c r="A390" s="45" t="n">
        <x:v>389</x:v>
      </x:c>
      <x:c r="B390" s="45" t="n">
        <x:v>461</x:v>
      </x:c>
      <x:c r="C390" s="45" t="n">
        <x:v>0</x:v>
      </x:c>
      <x:c r="D390" s="43" t="str">
        <x:v>Lu et al. (2020)</x:v>
      </x:c>
      <x:c r="E390" s="43" t="str">
        <x:v>C4</x:v>
      </x:c>
      <x:c r="F390" s="45" t="n">
        <x:v>1</x:v>
      </x:c>
      <x:c r="G390" s="44" t="str">
        <x:v>Flexural</x:v>
      </x:c>
      <x:c r="H390" s="46" t="n">
        <x:v>2</x:v>
      </x:c>
      <x:c r="I390" s="46" t="n">
        <x:v>9.333333333333334</x:v>
      </x:c>
      <x:c r="J390" s="46" t="n">
        <x:v>0.05544380403458213</x:v>
      </x:c>
      <x:c r="K390" s="46" t="n">
        <x:v>0.021613832853025934</x:v>
      </x:c>
      <x:c r="L390" s="46" t="n">
        <x:v>0.045821325648414984</x:v>
      </x:c>
      <x:c r="M390" s="46" t="n">
        <x:v>0.021613832853025934</x:v>
      </x:c>
      <x:c r="N390" s="46" t="n">
        <x:v>0</x:v>
      </x:c>
      <x:c r="O390" s="48" t="str">
        <x:v>R</x:v>
      </x:c>
      <x:c r="P390" s="46" t="n">
        <x:v>0</x:v>
      </x:c>
      <x:c r="Q390" s="45" t="n">
        <x:v>1</x:v>
      </x:c>
    </x:row>
    <x:row r="391">
      <x:c r="A391" s="45" t="n">
        <x:v>390</x:v>
      </x:c>
      <x:c r="B391" s="45" t="n">
        <x:v>462</x:v>
      </x:c>
      <x:c r="C391" s="45" t="n">
        <x:v>0</x:v>
      </x:c>
      <x:c r="D391" s="43" t="str">
        <x:v>Lu et al. (2021)</x:v>
      </x:c>
      <x:c r="E391" s="43" t="str">
        <x:v>C5</x:v>
      </x:c>
      <x:c r="F391" s="45" t="n">
        <x:v>1</x:v>
      </x:c>
      <x:c r="G391" s="44" t="str">
        <x:v>Flexural</x:v>
      </x:c>
      <x:c r="H391" s="46" t="n">
        <x:v>2</x:v>
      </x:c>
      <x:c r="I391" s="46" t="n">
        <x:v>9.333333333333334</x:v>
      </x:c>
      <x:c r="J391" s="46" t="n">
        <x:v>0.05449717514124294</x:v>
      </x:c>
      <x:c r="K391" s="46" t="n">
        <x:v>0.021186440677966104</x:v>
      </x:c>
      <x:c r="L391" s="46" t="n">
        <x:v>0.04491525423728814</x:v>
      </x:c>
      <x:c r="M391" s="46" t="n">
        <x:v>0.021186440677966104</x:v>
      </x:c>
      <x:c r="N391" s="46" t="n">
        <x:v>0.07465698143664246</x:v>
      </x:c>
      <x:c r="O391" s="48" t="str">
        <x:v>R</x:v>
      </x:c>
      <x:c r="P391" s="46" t="n">
        <x:v>0</x:v>
      </x:c>
      <x:c r="Q391" s="45" t="n">
        <x:v>1</x:v>
      </x:c>
    </x:row>
    <x:row r="392">
      <x:c r="A392" s="45" t="n">
        <x:v>391</x:v>
      </x:c>
      <x:c r="B392" s="45" t="n">
        <x:v>463</x:v>
      </x:c>
      <x:c r="C392" s="45" t="n">
        <x:v>0</x:v>
      </x:c>
      <x:c r="D392" s="43" t="str">
        <x:v>Lu et al. (2022)</x:v>
      </x:c>
      <x:c r="E392" s="43" t="str">
        <x:v>C6</x:v>
      </x:c>
      <x:c r="F392" s="45" t="n">
        <x:v>1</x:v>
      </x:c>
      <x:c r="G392" s="44" t="str">
        <x:v>Flexural</x:v>
      </x:c>
      <x:c r="H392" s="46" t="n">
        <x:v>2</x:v>
      </x:c>
      <x:c r="I392" s="46" t="n">
        <x:v>9.333333333333334</x:v>
      </x:c>
      <x:c r="J392" s="46" t="n">
        <x:v>0.0518632707774799</x:v>
      </x:c>
      <x:c r="K392" s="46" t="n">
        <x:v>0.020107238605898126</x:v>
      </x:c>
      <x:c r="L392" s="46" t="n">
        <x:v>0.042627345844504026</x:v>
      </x:c>
      <x:c r="M392" s="46" t="n">
        <x:v>0.020107238605898126</x:v>
      </x:c>
      <x:c r="N392" s="46" t="n">
        <x:v>0.03702285203625687</x:v>
      </x:c>
      <x:c r="O392" s="48" t="str">
        <x:v>R</x:v>
      </x:c>
      <x:c r="P392" s="46" t="n">
        <x:v>0</x:v>
      </x:c>
      <x:c r="Q392" s="45" t="n">
        <x:v>1</x:v>
      </x:c>
    </x:row>
    <x:row r="393">
      <x:c r="A393" s="45" t="n">
        <x:v>392</x:v>
      </x:c>
      <x:c r="B393" s="45" t="n">
        <x:v>464</x:v>
      </x:c>
      <x:c r="C393" s="45" t="n">
        <x:v>0</x:v>
      </x:c>
      <x:c r="D393" s="43" t="str">
        <x:v>Tripathi et al. (2019)</x:v>
      </x:c>
      <x:c r="E393" s="43" t="str">
        <x:v>SWD-1</x:v>
      </x:c>
      <x:c r="F393" s="45" t="n">
        <x:v>1</x:v>
      </x:c>
      <x:c r="G393" s="44" t="str">
        <x:v>Flexural</x:v>
      </x:c>
      <x:c r="H393" s="46" t="n">
        <x:v>1</x:v>
      </x:c>
      <x:c r="I393" s="46" t="n">
        <x:v>13.333333333333334</x:v>
      </x:c>
      <x:c r="J393" s="46" t="n">
        <x:v>0.05601001669449082</x:v>
      </x:c>
      <x:c r="K393" s="46" t="n">
        <x:v>0.025144685587089592</x:v>
      </x:c>
      <x:c r="L393" s="46" t="n">
        <x:v>0.19507512520868114</x:v>
      </x:c>
      <x:c r="M393" s="46" t="n">
        <x:v>0.07327879799666111</x:v>
      </x:c>
      <x:c r="N393" s="46" t="n">
        <x:v>0.055</x:v>
      </x:c>
      <x:c r="O393" s="48" t="str">
        <x:v>R</x:v>
      </x:c>
      <x:c r="P393" s="46" t="n">
        <x:v>0</x:v>
      </x:c>
      <x:c r="Q393" s="45" t="n">
        <x:v>1</x:v>
      </x:c>
    </x:row>
    <x:row r="394">
      <x:c r="A394" s="45" t="n">
        <x:v>393</x:v>
      </x:c>
      <x:c r="B394" s="45" t="n">
        <x:v>465</x:v>
      </x:c>
      <x:c r="C394" s="45" t="n">
        <x:v>0</x:v>
      </x:c>
      <x:c r="D394" s="43" t="str">
        <x:v>Tripathi et al. (2020)</x:v>
      </x:c>
      <x:c r="E394" s="43" t="str">
        <x:v>SWD-2</x:v>
      </x:c>
      <x:c r="F394" s="45" t="n">
        <x:v>1</x:v>
      </x:c>
      <x:c r="G394" s="44" t="str">
        <x:v>Flexural</x:v>
      </x:c>
      <x:c r="H394" s="46" t="n">
        <x:v>1</x:v>
      </x:c>
      <x:c r="I394" s="46" t="n">
        <x:v>13.333333333333334</x:v>
      </x:c>
      <x:c r="J394" s="46" t="n">
        <x:v>0.053381066030230705</x:v>
      </x:c>
      <x:c r="K394" s="46" t="n">
        <x:v>0.0239644656589764</x:v>
      </x:c>
      <x:c r="L394" s="46" t="n">
        <x:v>0.18591885441527445</x:v>
      </x:c>
      <x:c r="M394" s="46" t="n">
        <x:v>0.05272182444974808</x:v>
      </x:c>
      <x:c r="N394" s="46" t="n">
        <x:v>0.055</x:v>
      </x:c>
      <x:c r="O394" s="48" t="str">
        <x:v>R</x:v>
      </x:c>
      <x:c r="P394" s="46" t="n">
        <x:v>0</x:v>
      </x:c>
      <x:c r="Q394" s="45" t="n">
        <x:v>1</x:v>
      </x:c>
    </x:row>
  </x:sheetData>
  <x:conditionalFormatting sqref="C2:C394">
    <x:cfRule type="cellIs" dxfId="1" priority="1" operator="equal">
      <x:formula>1</x:formula>
    </x:cfRule>
  </x:conditionalFormatting>
  <x:conditionalFormatting sqref="Q2:Q394">
    <x:cfRule type="cellIs" dxfId="2" priority="2" operator="greaterThan">
      <x:formula>1</x:formula>
    </x:cfRule>
  </x:conditionalFormatting>
  <x:dataValidations count="2">
    <x:dataValidation type="list" sqref="F2:F394">
      <x:formula1>"1,2,3,4"</x:formula1>
    </x:dataValidation>
    <x:dataValidation type="list" sqref="O2:O394">
      <x:formula1>"R,B,F"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48b13d2a9f4059"/>
  </x:tableParts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6" hidden="0" customWidth="1"/>
    <x:col min="2" max="2" width="45" hidden="0" customWidth="1"/>
    <x:col min="3" max="3" width="14" hidden="0" customWidth="1"/>
    <x:col min="4" max="4" width="14" hidden="0" customWidth="1"/>
    <x:col min="5" max="5" width="18" hidden="0" customWidth="1"/>
    <x:col min="6" max="6" width="54" hidden="0" customWidth="1"/>
  </x:cols>
  <x:sheetData>
    <x:row r="2">
      <x:c r="A2" s="1" t="str">
        <x:v>Veri Sözlüğü</x:v>
      </x:c>
      <x:c r="B2" s="1"/>
      <x:c r="C2" s="1"/>
      <x:c r="D2" s="1"/>
      <x:c r="E2" s="1"/>
      <x:c r="F2" s="1"/>
    </x:row>
    <x:row r="3">
      <x:c r="A3" s="2"/>
      <x:c r="B3" s="2"/>
      <x:c r="C3" s="2"/>
      <x:c r="D3" s="2"/>
      <x:c r="E3" s="2"/>
      <x:c r="F3" s="2"/>
    </x:row>
    <x:row r="4">
      <x:c r="A4" s="3" t="str">
        <x:v>Kaynak</x:v>
      </x:c>
      <x:c r="B4" s="4" t="str">
        <x:v>Shear_Wall_Database.xlsx dosyasındaki Database sayfası; ölçüm değerleri değiştirilmeden aktarılmıştır.</x:v>
      </x:c>
      <x:c r="C4" s="4"/>
      <x:c r="D4" s="4"/>
      <x:c r="E4" s="4"/>
      <x:c r="F4" s="4"/>
    </x:row>
    <x:row r="6">
      <x:c r="A6" s="40" t="str">
        <x:v>Alan</x:v>
      </x:c>
      <x:c r="B6" s="41" t="str">
        <x:v>Tanım</x:v>
      </x:c>
      <x:c r="C6" s="41" t="str">
        <x:v>Tür</x:v>
      </x:c>
      <x:c r="D6" s="41" t="str">
        <x:v>Birim</x:v>
      </x:c>
      <x:c r="E6" s="41" t="str">
        <x:v>Analizdeki rol</x:v>
      </x:c>
      <x:c r="F6" s="42" t="str">
        <x:v>Kural / not</x:v>
      </x:c>
    </x:row>
    <x:row r="7" ht="34" customHeight="1">
      <x:c r="A7" s="52" t="str">
        <x:v>RowID</x:v>
      </x:c>
      <x:c r="B7" s="52" t="str">
        <x:v>Benzersiz temiz kayıt kimliği</x:v>
      </x:c>
      <x:c r="C7" s="52" t="str">
        <x:v>Tamsayı</x:v>
      </x:c>
      <x:c r="D7" s="52" t="str">
        <x:v>Yok</x:v>
      </x:c>
      <x:c r="E7" s="52" t="str">
        <x:v>Hayır</x:v>
      </x:c>
      <x:c r="F7" s="52" t="str">
        <x:v>1–393; temiz dosyada benzersiz</x:v>
      </x:c>
    </x:row>
    <x:row r="8" ht="34" customHeight="1">
      <x:c r="A8" s="53" t="str">
        <x:v>SourceID</x:v>
      </x:c>
      <x:c r="B8" s="53" t="str">
        <x:v>Kaynak çalışma kitabındaki kimlik</x:v>
      </x:c>
      <x:c r="C8" s="53" t="str">
        <x:v>Tamsayı</x:v>
      </x:c>
      <x:c r="D8" s="53" t="str">
        <x:v>Yok</x:v>
      </x:c>
      <x:c r="E8" s="53" t="str">
        <x:v>Hayır</x:v>
      </x:c>
      <x:c r="F8" s="53" t="str">
        <x:v>Kaynakta bazı değerler yinelenir; geriye dönük izleme için korunmuştur</x:v>
      </x:c>
    </x:row>
    <x:row r="9" ht="34" customHeight="1">
      <x:c r="A9" s="53" t="str">
        <x:v>SourceIDRepeated</x:v>
      </x:c>
      <x:c r="B9" s="53" t="str">
        <x:v>SourceID başka bir satırda da kullanılmışsa 1</x:v>
      </x:c>
      <x:c r="C9" s="53" t="str">
        <x:v>İkili</x:v>
      </x:c>
      <x:c r="D9" s="53" t="str">
        <x:v>Yok</x:v>
      </x:c>
      <x:c r="E9" s="53" t="str">
        <x:v>Hayır</x:v>
      </x:c>
      <x:c r="F9" s="53" t="str">
        <x:v>Kalite bayrağı</x:v>
      </x:c>
    </x:row>
    <x:row r="10" ht="34" customHeight="1">
      <x:c r="A10" s="53" t="str">
        <x:v>Author</x:v>
      </x:c>
      <x:c r="B10" s="53" t="str">
        <x:v>Deneyin raporlandığı çalışma/yazar</x:v>
      </x:c>
      <x:c r="C10" s="53" t="str">
        <x:v>Metin</x:v>
      </x:c>
      <x:c r="D10" s="53" t="str">
        <x:v>Yok</x:v>
      </x:c>
      <x:c r="E10" s="53" t="str">
        <x:v>Grup alanı</x:v>
      </x:c>
      <x:c r="F10" s="53" t="str">
        <x:v>Model girdisi değildir; train/test gruplamasında kullanılır</x:v>
      </x:c>
    </x:row>
    <x:row r="11" ht="34" customHeight="1">
      <x:c r="A11" s="53" t="str">
        <x:v>Specimen</x:v>
      </x:c>
      <x:c r="B11" s="53" t="str">
        <x:v>Çalışma içindeki numune adı</x:v>
      </x:c>
      <x:c r="C11" s="53" t="str">
        <x:v>Metin</x:v>
      </x:c>
      <x:c r="D11" s="53" t="str">
        <x:v>Yok</x:v>
      </x:c>
      <x:c r="E11" s="53" t="str">
        <x:v>Hayır</x:v>
      </x:c>
      <x:c r="F11" s="53" t="str">
        <x:v>Author ile birlikte numuneyi tanımlar</x:v>
      </x:c>
    </x:row>
    <x:row r="12" ht="34" customHeight="1">
      <x:c r="A12" s="53" t="str">
        <x:v>FailureMode</x:v>
      </x:c>
      <x:c r="B12" s="53" t="str">
        <x:v>Göçme modu kodu</x:v>
      </x:c>
      <x:c r="C12" s="53" t="str">
        <x:v>Kategori</x:v>
      </x:c>
      <x:c r="D12" s="53" t="str">
        <x:v>Yok</x:v>
      </x:c>
      <x:c r="E12" s="53" t="str">
        <x:v>Hedef</x:v>
      </x:c>
      <x:c r="F12" s="53" t="str">
        <x:v>1=Flexural, 2=Shear, 3=Flex-Shear, 4=Sliding</x:v>
      </x:c>
    </x:row>
    <x:row r="13" ht="34" customHeight="1">
      <x:c r="A13" s="53" t="str">
        <x:v>FailureModeName</x:v>
      </x:c>
      <x:c r="B13" s="53" t="str">
        <x:v>Göçme modu etiketi</x:v>
      </x:c>
      <x:c r="C13" s="53" t="str">
        <x:v>Metin</x:v>
      </x:c>
      <x:c r="D13" s="53" t="str">
        <x:v>Yok</x:v>
      </x:c>
      <x:c r="E13" s="53" t="str">
        <x:v>Hedef etiketi</x:v>
      </x:c>
      <x:c r="F13" s="53" t="str">
        <x:v>FailureMode kodunun okunabilir karşılığı</x:v>
      </x:c>
    </x:row>
    <x:row r="14" ht="34" customHeight="1">
      <x:c r="A14" s="53" t="str">
        <x:v>M/Vlw</x:v>
      </x:c>
      <x:c r="B14" s="53" t="str">
        <x:v>Moment-kesme oranı</x:v>
      </x:c>
      <x:c r="C14" s="53" t="str">
        <x:v>Sayısal</x:v>
      </x:c>
      <x:c r="D14" s="53" t="str">
        <x:v>Boyutsuz</x:v>
      </x:c>
      <x:c r="E14" s="53" t="str">
        <x:v>Evet</x:v>
      </x:c>
      <x:c r="F14" s="53" t="str">
        <x:v>Negatif olmamalı</x:v>
      </x:c>
    </x:row>
    <x:row r="15" ht="34" customHeight="1">
      <x:c r="A15" s="53" t="str">
        <x:v>lw/tw</x:v>
      </x:c>
      <x:c r="B15" s="53" t="str">
        <x:v>Duvar uzunluğu-kalınlığı oranı</x:v>
      </x:c>
      <x:c r="C15" s="53" t="str">
        <x:v>Sayısal</x:v>
      </x:c>
      <x:c r="D15" s="53" t="str">
        <x:v>Boyutsuz</x:v>
      </x:c>
      <x:c r="E15" s="53" t="str">
        <x:v>Evet</x:v>
      </x:c>
      <x:c r="F15" s="53" t="str">
        <x:v>Pozitif olmalı</x:v>
      </x:c>
    </x:row>
    <x:row r="16" ht="34" customHeight="1">
      <x:c r="A16" s="53" t="str">
        <x:v>ρvwFy,vw/fc</x:v>
      </x:c>
      <x:c r="B16" s="53" t="str">
        <x:v>Düşey gövde donatısı normalize oranı</x:v>
      </x:c>
      <x:c r="C16" s="53" t="str">
        <x:v>Sayısal</x:v>
      </x:c>
      <x:c r="D16" s="53" t="str">
        <x:v>Boyutsuz</x:v>
      </x:c>
      <x:c r="E16" s="53" t="str">
        <x:v>Evet</x:v>
      </x:c>
      <x:c r="F16" s="53" t="str">
        <x:v>Negatif olmamalı</x:v>
      </x:c>
    </x:row>
    <x:row r="17" ht="34" customHeight="1">
      <x:c r="A17" s="53" t="str">
        <x:v>ρhwFy,vw/fc</x:v>
      </x:c>
      <x:c r="B17" s="53" t="str">
        <x:v>Yatay gövde donatısı normalize oranı</x:v>
      </x:c>
      <x:c r="C17" s="53" t="str">
        <x:v>Sayısal</x:v>
      </x:c>
      <x:c r="D17" s="53" t="str">
        <x:v>Boyutsuz</x:v>
      </x:c>
      <x:c r="E17" s="53" t="str">
        <x:v>Evet</x:v>
      </x:c>
      <x:c r="F17" s="53" t="str">
        <x:v>Negatif olmamalı</x:v>
      </x:c>
    </x:row>
    <x:row r="18" ht="34" customHeight="1">
      <x:c r="A18" s="53" t="str">
        <x:v>ρvcFy,vc/fc</x:v>
      </x:c>
      <x:c r="B18" s="53" t="str">
        <x:v>Düşey sınır/köşe donatısı normalize oranı</x:v>
      </x:c>
      <x:c r="C18" s="53" t="str">
        <x:v>Sayısal</x:v>
      </x:c>
      <x:c r="D18" s="53" t="str">
        <x:v>Boyutsuz</x:v>
      </x:c>
      <x:c r="E18" s="53" t="str">
        <x:v>Evet</x:v>
      </x:c>
      <x:c r="F18" s="53" t="str">
        <x:v>Negatif olmamalı</x:v>
      </x:c>
    </x:row>
    <x:row r="19" ht="34" customHeight="1">
      <x:c r="A19" s="53" t="str">
        <x:v>ρhcFy,hc/fc</x:v>
      </x:c>
      <x:c r="B19" s="53" t="str">
        <x:v>Yatay sınır/köşe donatısı normalize oranı</x:v>
      </x:c>
      <x:c r="C19" s="53" t="str">
        <x:v>Sayısal</x:v>
      </x:c>
      <x:c r="D19" s="53" t="str">
        <x:v>Boyutsuz</x:v>
      </x:c>
      <x:c r="E19" s="53" t="str">
        <x:v>Evet</x:v>
      </x:c>
      <x:c r="F19" s="53" t="str">
        <x:v>Negatif olmamalı</x:v>
      </x:c>
    </x:row>
    <x:row r="20" ht="34" customHeight="1">
      <x:c r="A20" s="53" t="str">
        <x:v>P/fcAg</x:v>
      </x:c>
      <x:c r="B20" s="53" t="str">
        <x:v>Normalize eksenel yük oranı</x:v>
      </x:c>
      <x:c r="C20" s="53" t="str">
        <x:v>Sayısal</x:v>
      </x:c>
      <x:c r="D20" s="53" t="str">
        <x:v>Boyutsuz</x:v>
      </x:c>
      <x:c r="E20" s="53" t="str">
        <x:v>Evet</x:v>
      </x:c>
      <x:c r="F20" s="53" t="str">
        <x:v>Negatif olmamalı</x:v>
      </x:c>
    </x:row>
    <x:row r="21" ht="34" customHeight="1">
      <x:c r="A21" s="53" t="str">
        <x:v>Section</x:v>
      </x:c>
      <x:c r="B21" s="53" t="str">
        <x:v>Kesit tipi</x:v>
      </x:c>
      <x:c r="C21" s="53" t="str">
        <x:v>Kategori</x:v>
      </x:c>
      <x:c r="D21" s="53" t="str">
        <x:v>Yok</x:v>
      </x:c>
      <x:c r="E21" s="53" t="str">
        <x:v>Evet</x:v>
      </x:c>
      <x:c r="F21" s="53" t="str">
        <x:v>R, B veya F; nominal değişken</x:v>
      </x:c>
    </x:row>
    <x:row r="22" ht="34" customHeight="1">
      <x:c r="A22" s="53" t="str">
        <x:v>Ab/Ag</x:v>
      </x:c>
      <x:c r="B22" s="53" t="str">
        <x:v>Sınır bölgesi alan oranı</x:v>
      </x:c>
      <x:c r="C22" s="53" t="str">
        <x:v>Sayısal</x:v>
      </x:c>
      <x:c r="D22" s="53" t="str">
        <x:v>Boyutsuz</x:v>
      </x:c>
      <x:c r="E22" s="53" t="str">
        <x:v>Evet</x:v>
      </x:c>
      <x:c r="F22" s="53" t="str">
        <x:v>Negatif olmamalı</x:v>
      </x:c>
    </x:row>
    <x:row r="23" ht="34" customHeight="1">
      <x:c r="A23" s="54" t="str">
        <x:v>FeatureVectorGroupSize</x:v>
      </x:c>
      <x:c r="B23" s="54" t="str">
        <x:v>Aynı dokuz model girdisini paylaşan kayıt sayısı</x:v>
      </x:c>
      <x:c r="C23" s="54" t="str">
        <x:v>Tamsayı</x:v>
      </x:c>
      <x:c r="D23" s="54" t="str">
        <x:v>Yok</x:v>
      </x:c>
      <x:c r="E23" s="54" t="str">
        <x:v>Hayır</x:v>
      </x:c>
      <x:c r="F23" s="54" t="str">
        <x:v>1 benzersiz; &gt;1 aynı tasarım girdilerini paylaşır</x:v>
      </x:c>
    </x:row>
  </x:sheetData>
  <x:conditionalFormatting sqref="E7:E23">
    <x:cfRule type="containsText" dxfId="3" priority="1" operator="containsText" text="Evet"/>
  </x:conditionalFormatting>
  <x:pageMargins left="0.7" right="0.7" top="0.75" bottom="0.75" header="0.3" footer="0.3"/>
</x:worksheet>
</file>